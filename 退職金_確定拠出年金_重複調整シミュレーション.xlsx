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personal\克彦\40_個人年金\"/>
    </mc:Choice>
  </mc:AlternateContent>
  <xr:revisionPtr revIDLastSave="0" documentId="13_ncr:1_{FFDB2ADF-5613-446A-8450-993EF540E693}" xr6:coauthVersionLast="47" xr6:coauthVersionMax="47" xr10:uidLastSave="{00000000-0000-0000-0000-000000000000}"/>
  <bookViews>
    <workbookView xWindow="-120" yWindow="-120" windowWidth="25440" windowHeight="15270" xr2:uid="{00000000-000D-0000-FFFF-FFFF00000000}"/>
  </bookViews>
  <sheets>
    <sheet name="入力" sheetId="1" r:id="rId1"/>
    <sheet name="重複調整計算" sheetId="2" r:id="rId2"/>
    <sheet name="受取時期比較" sheetId="3" r:id="rId3"/>
    <sheet name="会社退職金" sheetId="5" r:id="rId4"/>
    <sheet name="説明・参照情報" sheetId="9" r:id="rId5"/>
    <sheet name="税率表" sheetId="10" r:id="rId6"/>
  </sheets>
  <definedNames>
    <definedName name="_xlnm._FilterDatabase" localSheetId="2" hidden="1">受取時期比較!$A$3:$AC$13</definedName>
    <definedName name="_xlnm.Print_Area" localSheetId="3">会社退職金!$A$1:$L$40</definedName>
    <definedName name="tabletax">会社退職金!$Q$14:$T$19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3" l="1"/>
  <c r="D12" i="3"/>
  <c r="D11" i="3"/>
  <c r="D10" i="3"/>
  <c r="D9" i="3"/>
  <c r="D8" i="3"/>
  <c r="D7" i="3"/>
  <c r="D6" i="3"/>
  <c r="D5" i="3"/>
  <c r="D4" i="3"/>
  <c r="B21" i="1"/>
  <c r="B19" i="1"/>
  <c r="F11" i="1" l="1"/>
  <c r="F7" i="1"/>
  <c r="B7" i="5"/>
  <c r="B8" i="5" s="1"/>
  <c r="B10" i="5" s="1"/>
  <c r="E6" i="5"/>
  <c r="F13" i="3"/>
  <c r="E13" i="3"/>
  <c r="G13" i="3"/>
  <c r="F12" i="3"/>
  <c r="E12" i="3"/>
  <c r="G12" i="3"/>
  <c r="F11" i="3"/>
  <c r="E11" i="3"/>
  <c r="G11" i="3"/>
  <c r="F10" i="3"/>
  <c r="E10" i="3"/>
  <c r="G10" i="3"/>
  <c r="F9" i="3"/>
  <c r="E9" i="3"/>
  <c r="G9" i="3"/>
  <c r="M9" i="3" s="1"/>
  <c r="F8" i="3"/>
  <c r="E8" i="3"/>
  <c r="G8" i="3"/>
  <c r="F7" i="3"/>
  <c r="E7" i="3"/>
  <c r="G7" i="3"/>
  <c r="F6" i="3"/>
  <c r="E6" i="3"/>
  <c r="G6" i="3"/>
  <c r="F5" i="3"/>
  <c r="E5" i="3"/>
  <c r="G5" i="3"/>
  <c r="F4" i="3"/>
  <c r="E4" i="3"/>
  <c r="G4" i="3"/>
  <c r="B6" i="2"/>
  <c r="B5" i="2"/>
  <c r="B22" i="1"/>
  <c r="B20" i="1"/>
  <c r="B17" i="1"/>
  <c r="P9" i="3" l="1"/>
  <c r="R9" i="3"/>
  <c r="B4" i="2"/>
  <c r="B8" i="2" s="1"/>
  <c r="B23" i="1"/>
  <c r="B12" i="2" s="1"/>
  <c r="B13" i="2" s="1"/>
  <c r="B14" i="2" s="1"/>
  <c r="K9" i="3"/>
  <c r="K4" i="3"/>
  <c r="AH9" i="3"/>
  <c r="AI9" i="3" s="1"/>
  <c r="AJ9" i="3" s="1"/>
  <c r="AN9" i="3" s="1"/>
  <c r="AH13" i="3"/>
  <c r="AI13" i="3" s="1"/>
  <c r="AJ13" i="3" s="1"/>
  <c r="K13" i="3"/>
  <c r="AH12" i="3"/>
  <c r="AI12" i="3" s="1"/>
  <c r="AJ12" i="3" s="1"/>
  <c r="K12" i="3"/>
  <c r="AH11" i="3"/>
  <c r="AI11" i="3" s="1"/>
  <c r="AJ11" i="3" s="1"/>
  <c r="K11" i="3"/>
  <c r="AH10" i="3"/>
  <c r="AI10" i="3" s="1"/>
  <c r="AJ10" i="3" s="1"/>
  <c r="K10" i="3"/>
  <c r="AH8" i="3"/>
  <c r="AI8" i="3" s="1"/>
  <c r="AJ8" i="3" s="1"/>
  <c r="K8" i="3"/>
  <c r="AH7" i="3"/>
  <c r="AI7" i="3" s="1"/>
  <c r="AJ7" i="3" s="1"/>
  <c r="K7" i="3"/>
  <c r="AH6" i="3"/>
  <c r="AI6" i="3" s="1"/>
  <c r="AJ6" i="3" s="1"/>
  <c r="K6" i="3"/>
  <c r="AH5" i="3"/>
  <c r="AI5" i="3" s="1"/>
  <c r="AJ5" i="3" s="1"/>
  <c r="K5" i="3"/>
  <c r="AH4" i="3"/>
  <c r="AI4" i="3" s="1"/>
  <c r="AJ4" i="3" s="1"/>
  <c r="J5" i="3"/>
  <c r="H5" i="3"/>
  <c r="I5" i="3" s="1"/>
  <c r="H11" i="3"/>
  <c r="I11" i="3" s="1"/>
  <c r="N11" i="3" s="1"/>
  <c r="J11" i="3"/>
  <c r="J4" i="3"/>
  <c r="H4" i="3"/>
  <c r="I4" i="3" s="1"/>
  <c r="B14" i="5"/>
  <c r="B12" i="5"/>
  <c r="B11" i="5"/>
  <c r="J7" i="3"/>
  <c r="H7" i="3"/>
  <c r="I7" i="3" s="1"/>
  <c r="J9" i="3"/>
  <c r="H9" i="3"/>
  <c r="I9" i="3" s="1"/>
  <c r="AE9" i="3" s="1"/>
  <c r="J10" i="3"/>
  <c r="H10" i="3"/>
  <c r="I10" i="3" s="1"/>
  <c r="J6" i="3"/>
  <c r="H6" i="3"/>
  <c r="I6" i="3" s="1"/>
  <c r="J8" i="3"/>
  <c r="H8" i="3"/>
  <c r="I8" i="3" s="1"/>
  <c r="N8" i="3" s="1"/>
  <c r="H13" i="3"/>
  <c r="I13" i="3" s="1"/>
  <c r="J12" i="3"/>
  <c r="J13" i="3"/>
  <c r="H12" i="3"/>
  <c r="I12" i="3" s="1"/>
  <c r="B15" i="2" l="1"/>
  <c r="L6" i="3"/>
  <c r="M6" i="3" s="1"/>
  <c r="L9" i="3"/>
  <c r="L8" i="3"/>
  <c r="M8" i="3" s="1"/>
  <c r="O8" i="3" s="1"/>
  <c r="P8" i="3" s="1"/>
  <c r="R8" i="3" s="1"/>
  <c r="L11" i="3"/>
  <c r="M11" i="3" s="1"/>
  <c r="O11" i="3" s="1"/>
  <c r="P11" i="3" s="1"/>
  <c r="R11" i="3" s="1"/>
  <c r="L13" i="3"/>
  <c r="M13" i="3" s="1"/>
  <c r="O13" i="3" s="1"/>
  <c r="L12" i="3"/>
  <c r="M12" i="3" s="1"/>
  <c r="O12" i="3" s="1"/>
  <c r="L10" i="3"/>
  <c r="M10" i="3" s="1"/>
  <c r="O10" i="3" s="1"/>
  <c r="L7" i="3"/>
  <c r="M7" i="3" s="1"/>
  <c r="L5" i="3"/>
  <c r="M5" i="3" s="1"/>
  <c r="L4" i="3"/>
  <c r="B9" i="2"/>
  <c r="B7" i="2"/>
  <c r="AN6" i="3"/>
  <c r="AL6" i="3"/>
  <c r="AK6" i="3"/>
  <c r="AM6" i="3" s="1"/>
  <c r="AN13" i="3"/>
  <c r="AK13" i="3"/>
  <c r="AL13" i="3"/>
  <c r="AN8" i="3"/>
  <c r="AL8" i="3"/>
  <c r="AK8" i="3"/>
  <c r="AL7" i="3"/>
  <c r="AK7" i="3"/>
  <c r="AM7" i="3" s="1"/>
  <c r="AN7" i="3"/>
  <c r="AN5" i="3"/>
  <c r="AL5" i="3"/>
  <c r="AK5" i="3"/>
  <c r="AM5" i="3" s="1"/>
  <c r="AN4" i="3"/>
  <c r="AL4" i="3"/>
  <c r="AK4" i="3"/>
  <c r="AM4" i="3" s="1"/>
  <c r="AL10" i="3"/>
  <c r="AK10" i="3"/>
  <c r="AN10" i="3"/>
  <c r="AK12" i="3"/>
  <c r="AL12" i="3"/>
  <c r="AN12" i="3"/>
  <c r="AN11" i="3"/>
  <c r="AK11" i="3"/>
  <c r="AL11" i="3"/>
  <c r="O9" i="3"/>
  <c r="N9" i="3"/>
  <c r="O6" i="3"/>
  <c r="O7" i="3"/>
  <c r="O5" i="3"/>
  <c r="M4" i="3"/>
  <c r="O4" i="3" s="1"/>
  <c r="AK9" i="3"/>
  <c r="AL9" i="3"/>
  <c r="B13" i="5"/>
  <c r="B15" i="5" s="1"/>
  <c r="AE6" i="3"/>
  <c r="N6" i="3"/>
  <c r="AE11" i="3"/>
  <c r="AE8" i="3"/>
  <c r="AE13" i="3"/>
  <c r="N13" i="3"/>
  <c r="N12" i="3"/>
  <c r="AE12" i="3"/>
  <c r="N5" i="3"/>
  <c r="AE5" i="3"/>
  <c r="N10" i="3"/>
  <c r="AE10" i="3"/>
  <c r="AE4" i="3"/>
  <c r="N4" i="3"/>
  <c r="AF13" i="3"/>
  <c r="AG13" i="3" s="1"/>
  <c r="AE7" i="3"/>
  <c r="AF5" i="3"/>
  <c r="AG5" i="3" s="1"/>
  <c r="AF7" i="3"/>
  <c r="AG7" i="3" s="1"/>
  <c r="AF10" i="3"/>
  <c r="AG10" i="3" s="1"/>
  <c r="N7" i="3"/>
  <c r="AF6" i="3"/>
  <c r="AG6" i="3" s="1"/>
  <c r="AG9" i="3"/>
  <c r="AF9" i="3"/>
  <c r="AF11" i="3"/>
  <c r="AG11" i="3" s="1"/>
  <c r="AF8" i="3"/>
  <c r="AG8" i="3" s="1"/>
  <c r="AF12" i="3"/>
  <c r="AG12" i="3" s="1"/>
  <c r="B10" i="2" l="1"/>
  <c r="B11" i="2" s="1"/>
  <c r="P10" i="3"/>
  <c r="R10" i="3" s="1"/>
  <c r="P12" i="3"/>
  <c r="R12" i="3" s="1"/>
  <c r="P13" i="3"/>
  <c r="R13" i="3" s="1"/>
  <c r="P5" i="3"/>
  <c r="R5" i="3" s="1"/>
  <c r="P7" i="3"/>
  <c r="R7" i="3" s="1"/>
  <c r="P4" i="3"/>
  <c r="R4" i="3" s="1"/>
  <c r="P6" i="3"/>
  <c r="R6" i="3" s="1"/>
  <c r="AM10" i="3"/>
  <c r="AM11" i="3"/>
  <c r="AO11" i="3" s="1"/>
  <c r="AP11" i="3" s="1"/>
  <c r="AM12" i="3"/>
  <c r="AM13" i="3"/>
  <c r="AO13" i="3" s="1"/>
  <c r="AP13" i="3" s="1"/>
  <c r="AM8" i="3"/>
  <c r="AO7" i="3"/>
  <c r="AP7" i="3" s="1"/>
  <c r="AO5" i="3"/>
  <c r="AP5" i="3" s="1"/>
  <c r="AO8" i="3"/>
  <c r="AP8" i="3" s="1"/>
  <c r="AO12" i="3"/>
  <c r="AP12" i="3" s="1"/>
  <c r="AO10" i="3"/>
  <c r="AP10" i="3"/>
  <c r="AO6" i="3"/>
  <c r="AP6" i="3" s="1"/>
  <c r="AO4" i="3"/>
  <c r="AP4" i="3" s="1"/>
  <c r="T9" i="3"/>
  <c r="Q9" i="3"/>
  <c r="S9" i="3" s="1"/>
  <c r="AM9" i="3"/>
  <c r="AO9" i="3" s="1"/>
  <c r="AP9" i="3" s="1"/>
  <c r="B16" i="5"/>
  <c r="U9" i="3" l="1"/>
  <c r="AA9" i="3"/>
  <c r="X9" i="3"/>
  <c r="Z9" i="3" s="1"/>
  <c r="AB9" i="3"/>
  <c r="Q8" i="3"/>
  <c r="S8" i="3" s="1"/>
  <c r="T8" i="3"/>
  <c r="Q7" i="3"/>
  <c r="S7" i="3" s="1"/>
  <c r="T7" i="3"/>
  <c r="Q6" i="3"/>
  <c r="S6" i="3" s="1"/>
  <c r="T6" i="3"/>
  <c r="Q5" i="3"/>
  <c r="S5" i="3" s="1"/>
  <c r="T5" i="3"/>
  <c r="Q10" i="3"/>
  <c r="S10" i="3" s="1"/>
  <c r="T10" i="3"/>
  <c r="Q13" i="3"/>
  <c r="S13" i="3" s="1"/>
  <c r="T13" i="3"/>
  <c r="AB13" i="3" s="1"/>
  <c r="Q11" i="3"/>
  <c r="S11" i="3" s="1"/>
  <c r="T11" i="3"/>
  <c r="Q12" i="3"/>
  <c r="S12" i="3" s="1"/>
  <c r="T12" i="3"/>
  <c r="X12" i="3" s="1"/>
  <c r="V9" i="3" l="1"/>
  <c r="W9" i="3"/>
  <c r="Y12" i="3"/>
  <c r="Z12" i="3" s="1"/>
  <c r="Y9" i="3"/>
  <c r="AC9" i="3"/>
  <c r="AD9" i="3" s="1"/>
  <c r="AQ9" i="3" s="1"/>
  <c r="AB8" i="3"/>
  <c r="X8" i="3"/>
  <c r="X7" i="3"/>
  <c r="AB7" i="3"/>
  <c r="X6" i="3"/>
  <c r="AB6" i="3"/>
  <c r="AB5" i="3"/>
  <c r="X5" i="3"/>
  <c r="AA11" i="3"/>
  <c r="U11" i="3"/>
  <c r="U10" i="3"/>
  <c r="AA10" i="3"/>
  <c r="X13" i="3"/>
  <c r="AB12" i="3"/>
  <c r="U13" i="3"/>
  <c r="AA13" i="3"/>
  <c r="AA12" i="3"/>
  <c r="U12" i="3"/>
  <c r="U7" i="3"/>
  <c r="AA7" i="3"/>
  <c r="X11" i="3"/>
  <c r="AB11" i="3"/>
  <c r="AB10" i="3"/>
  <c r="X10" i="3"/>
  <c r="U8" i="3"/>
  <c r="AA8" i="3"/>
  <c r="U6" i="3"/>
  <c r="AA6" i="3"/>
  <c r="U5" i="3"/>
  <c r="AA5" i="3"/>
  <c r="AF4" i="3"/>
  <c r="AG4" i="3" s="1"/>
  <c r="V12" i="3" l="1"/>
  <c r="W12" i="3" s="1"/>
  <c r="AC12" i="3" s="1"/>
  <c r="AD12" i="3" s="1"/>
  <c r="AQ12" i="3" s="1"/>
  <c r="V11" i="3"/>
  <c r="W11" i="3" s="1"/>
  <c r="V10" i="3"/>
  <c r="W10" i="3" s="1"/>
  <c r="Y13" i="3"/>
  <c r="Z13" i="3" s="1"/>
  <c r="Y11" i="3"/>
  <c r="Z11" i="3" s="1"/>
  <c r="Y10" i="3"/>
  <c r="Z10" i="3" s="1"/>
  <c r="Y8" i="3"/>
  <c r="Z8" i="3" s="1"/>
  <c r="Y7" i="3"/>
  <c r="Z7" i="3" s="1"/>
  <c r="Y6" i="3"/>
  <c r="Z6" i="3" s="1"/>
  <c r="Y5" i="3"/>
  <c r="Z5" i="3" s="1"/>
  <c r="V5" i="3"/>
  <c r="W5" i="3" s="1"/>
  <c r="V6" i="3"/>
  <c r="W6" i="3" s="1"/>
  <c r="V7" i="3"/>
  <c r="W7" i="3" s="1"/>
  <c r="V13" i="3"/>
  <c r="W13" i="3" s="1"/>
  <c r="V8" i="3"/>
  <c r="W8" i="3" s="1"/>
  <c r="AC11" i="3" l="1"/>
  <c r="AD11" i="3" s="1"/>
  <c r="AQ11" i="3" s="1"/>
  <c r="AC13" i="3"/>
  <c r="AD13" i="3" s="1"/>
  <c r="AQ13" i="3" s="1"/>
  <c r="AC10" i="3"/>
  <c r="AD10" i="3" s="1"/>
  <c r="AQ10" i="3" s="1"/>
  <c r="AC8" i="3"/>
  <c r="AD8" i="3" s="1"/>
  <c r="AQ8" i="3" s="1"/>
  <c r="AC6" i="3"/>
  <c r="AD6" i="3" s="1"/>
  <c r="AQ6" i="3" s="1"/>
  <c r="AC7" i="3"/>
  <c r="AD7" i="3" s="1"/>
  <c r="AQ7" i="3" s="1"/>
  <c r="AC5" i="3"/>
  <c r="AD5" i="3" s="1"/>
  <c r="AQ5" i="3" s="1"/>
  <c r="Q4" i="3"/>
  <c r="S4" i="3" s="1"/>
  <c r="T4" i="3"/>
  <c r="AB4" i="3" l="1"/>
  <c r="X4" i="3"/>
  <c r="U4" i="3"/>
  <c r="AA4" i="3"/>
  <c r="V4" i="3" l="1"/>
  <c r="W4" i="3" s="1"/>
  <c r="Y4" i="3"/>
  <c r="Z4" i="3" s="1"/>
  <c r="AC4" i="3" l="1"/>
  <c r="AD4" i="3" s="1"/>
  <c r="AQ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4" authorId="0" shapeId="0" xr:uid="{00000000-0006-0000-0000-000001000000}">
      <text>
        <r>
          <rPr>
            <sz val="11"/>
            <color theme="1"/>
            <rFont val="游ゴシック"/>
            <family val="2"/>
            <charset val="128"/>
            <scheme val="minor"/>
          </rPr>
          <t>法令上の調整対象期間を示す参考値です。重複期間そのものではありません。</t>
        </r>
      </text>
    </comment>
    <comment ref="B15" authorId="0" shapeId="0" xr:uid="{00000000-0006-0000-0000-000002000000}">
      <text>
        <r>
          <rPr>
            <sz val="11"/>
            <color theme="1"/>
            <rFont val="游ゴシック"/>
            <family val="2"/>
            <charset val="128"/>
            <scheme val="minor"/>
          </rPr>
          <t>法令上の調整対象期間を示す参考値です。重複期間そのものではありません。</t>
        </r>
      </text>
    </comment>
    <comment ref="B36" authorId="0" shapeId="0" xr:uid="{00000000-0006-0000-0000-000003000000}">
      <text>
        <r>
          <rPr>
            <sz val="11"/>
            <color theme="1"/>
            <rFont val="游ゴシック"/>
            <family val="2"/>
            <charset val="128"/>
            <scheme val="minor"/>
          </rPr>
          <t>参照: 国税庁 No.2735、No.1420。制度改正や個別事情により適用関係が異なるため、最新の公的情報を確認してください。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2" authorId="0" shapeId="0" xr:uid="{00000000-0006-0000-0100-000001000000}">
      <text>
        <r>
          <rPr>
            <sz val="11"/>
            <color theme="1"/>
            <rFont val="游ゴシック"/>
            <family val="2"/>
            <charset val="128"/>
            <scheme val="minor"/>
          </rPr>
          <t>入力シートの参考値を参照。受取順序と適用条件を別途確認してください。</t>
        </r>
      </text>
    </comment>
    <comment ref="C12" authorId="0" shapeId="0" xr:uid="{00000000-0006-0000-0100-000002000000}">
      <text>
        <r>
          <rPr>
            <sz val="11"/>
            <color theme="1"/>
            <rFont val="游ゴシック"/>
            <family val="2"/>
            <charset val="128"/>
            <scheme val="minor"/>
          </rPr>
          <t>入力シートの参考値を参照。受取順序と適用条件を別途確認してください。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 authorId="0" shapeId="0" xr:uid="{00000000-0006-0000-0800-000001000000}">
      <text>
        <r>
          <rPr>
            <sz val="11"/>
            <color theme="1"/>
            <rFont val="游ゴシック"/>
            <family val="2"/>
            <charset val="128"/>
            <scheme val="minor"/>
          </rPr>
          <t>既存シート。今回の中心は「入力」「重複調整計算」「受取時期比較」です。</t>
        </r>
      </text>
    </comment>
  </commentList>
</comments>
</file>

<file path=xl/sharedStrings.xml><?xml version="1.0" encoding="utf-8"?>
<sst xmlns="http://schemas.openxmlformats.org/spreadsheetml/2006/main" count="267" uniqueCount="236">
  <si>
    <t>入力項目</t>
  </si>
  <si>
    <t>入力値</t>
  </si>
  <si>
    <t>単位・説明</t>
  </si>
  <si>
    <t>会社退職金の勤続開始日</t>
  </si>
  <si>
    <t>日付。実際の退職金規程に合わせて変更</t>
  </si>
  <si>
    <t>会社退職金の退職日</t>
  </si>
  <si>
    <t>日付。65歳退職予定日等に変更</t>
  </si>
  <si>
    <t>会社退職金の受取日</t>
  </si>
  <si>
    <t>日付</t>
  </si>
  <si>
    <t>会社退職金額</t>
  </si>
  <si>
    <t>円</t>
  </si>
  <si>
    <t>企業型DCの控除計算用加入開始日</t>
  </si>
  <si>
    <t>制度資料で確認した期間を入力</t>
  </si>
  <si>
    <t>企業型DCの控除計算用加入終了日</t>
  </si>
  <si>
    <t>企業型DC一時金の受取日</t>
  </si>
  <si>
    <t>日付。比較シートで変更可能</t>
  </si>
  <si>
    <t>企業型DC一時金額</t>
  </si>
  <si>
    <t>円。仮入力。実際の残高に変更</t>
  </si>
  <si>
    <t>参考：会社退職金→DCの調整対象期間</t>
  </si>
  <si>
    <t>年。会社退職金を先に受け取り、その後DC一時金を受け取る場合の確認用。重複期間そのものではありません。</t>
  </si>
  <si>
    <t>参考：DC→会社退職金の調整対象期間</t>
  </si>
  <si>
    <t>年。2026年以後に受け取るDC一時金が先で、通常の退職金が後の場合の確認用。適用条件の確認が必要です。</t>
  </si>
  <si>
    <t>今回の入力ケースの判定</t>
  </si>
  <si>
    <t>受取順序</t>
  </si>
  <si>
    <t>受取日を比較して自動判定</t>
  </si>
  <si>
    <t>自動計算</t>
  </si>
  <si>
    <t>結果</t>
  </si>
  <si>
    <t>説明</t>
  </si>
  <si>
    <t>会社退職金の勤続年数</t>
  </si>
  <si>
    <t>端数は1年に切上げる簡易計算</t>
  </si>
  <si>
    <t>会社退職金の退職所得控除額</t>
  </si>
  <si>
    <t>通常の退職所得控除</t>
  </si>
  <si>
    <t>DCの加入年数</t>
  </si>
  <si>
    <t>DCの退職所得控除額</t>
  </si>
  <si>
    <t>重複調整前</t>
  </si>
  <si>
    <t>重複調整の確認期間</t>
  </si>
  <si>
    <t>比較シートとの関係</t>
  </si>
  <si>
    <t>「受取時期比較」は入力B10の値を増やす入力欄ではなく、複数の受取時期を並べて比較する別計算です。</t>
  </si>
  <si>
    <t>入力B10は今回の1ケース用。</t>
  </si>
  <si>
    <t>注意</t>
  </si>
  <si>
    <t>通常の退職金と企業型DC一時金について、退職所得控除をそれぞれ適用できる可能性と、重複期間による控除額調整の影響を検討する試算用です。受取時期を変えることで税引後の手取り額が増える可能性がありますが、必ず有利になるとは限りません。</t>
  </si>
  <si>
    <t>設計上の注意</t>
  </si>
  <si>
    <t>B12・B13は重複期間そのものではなく、法令上の確認対象となり得る期間を示す参考値です。実際の重複期間は、退職金・DCの加入期間、受取日、制度移行・資産移換、過去の退職手当等を確認して計算する必要があります。</t>
  </si>
  <si>
    <t>制度の考え方・このシミュレーションの目的</t>
  </si>
  <si>
    <t>退職所得控除を2回受けられる可能性</t>
  </si>
  <si>
    <t>通常の退職金と企業型DCの老齢給付金（一時金）は、受取時期や制度上の要件によって、それぞれ退職所得控除の計算対象となり得ます。ただし、過去に受け取った退職手当等との勤続期間の重複がある場合は、控除額の重複を避けるための調整が行われます。</t>
  </si>
  <si>
    <t>重複調整の考え方</t>
  </si>
  <si>
    <t>本年分の退職手当等の勤続期間と、一定期間内に受け取った前の退職手当等の勤続期間に重複がある場合、その重複期間に対応する退職所得控除額相当額が、本年分の退職所得控除額から差し引かれることがあります。</t>
  </si>
  <si>
    <t>受取時期を検討する理由</t>
  </si>
  <si>
    <t>退職金と企業型DC一時金の受取時期を変えると、法令上の確認対象となる期間や勤続期間の重複状況が変わる可能性があります。その結果、調整後の退職所得控除額、課税退職所得金額、税額、税引後の手取り額が変わる可能性があります。</t>
  </si>
  <si>
    <t>「利益が増える」の意味</t>
  </si>
  <si>
    <t>受取時期を調整することで、重複調整による退職所得控除額の減少を抑えられる場合があり、その場合は税負担が減り、税引後の手取り額が増える可能性があります。ただし、受取時期を変えれば必ず有利になるわけではなく、DCの運用結果、受取可能年齢、加入期間、他の退職手当等、税率なども影響します。</t>
  </si>
  <si>
    <t>このExcelで確認すること</t>
  </si>
  <si>
    <t>会社退職金と企業型DC一時金の受取順序・受取時期を比較し、重複調整の影響を検討するための材料を整理します。現状の重複期間欄は確認用の簡易値であり、申告税額を確定するものではありません。</t>
  </si>
  <si>
    <t>主な参照先</t>
  </si>
  <si>
    <t>国税庁 No.2735「同じ年に2か所以上から退職手当等が支払われるとき」／国税庁 No.1420「退職金を受け取ったとき（退職所得）」</t>
  </si>
  <si>
    <t>重要な注意</t>
  </si>
  <si>
    <t>「19年」「9年」はすべてのケースに一律適用される期間ではありません。受取年、退職手当等の種類、DC一時金の支払時期、過去の受取状況などにより適用関係が異なるため、実際の計算では国税庁の規定と制度資料を確認してください。</t>
  </si>
  <si>
    <t>重複調整計算（今回の入力ケース）</t>
  </si>
  <si>
    <t>項目</t>
  </si>
  <si>
    <t>今回の入力ケース</t>
  </si>
  <si>
    <t>計算根拠</t>
  </si>
  <si>
    <t>確認</t>
  </si>
  <si>
    <t>先に受け取る制度</t>
  </si>
  <si>
    <t>受取日が早い制度</t>
  </si>
  <si>
    <t>受取日比較</t>
  </si>
  <si>
    <t>先の受取日</t>
  </si>
  <si>
    <t>受取日の早い方</t>
  </si>
  <si>
    <t>入力シート</t>
  </si>
  <si>
    <t>後の受取日</t>
  </si>
  <si>
    <t>受取日の遅い方</t>
  </si>
  <si>
    <t>先の一時金額</t>
  </si>
  <si>
    <t>先に受け取る制度の金額</t>
  </si>
  <si>
    <t>先の控除計算年数</t>
  </si>
  <si>
    <t>先に受け取る制度の控除計算年数</t>
  </si>
  <si>
    <t>先の本来の退職所得控除</t>
  </si>
  <si>
    <t>退職所得控除表</t>
  </si>
  <si>
    <t>先の金額が控除未満か</t>
  </si>
  <si>
    <t>前の一時金額と本来の控除額を比較</t>
  </si>
  <si>
    <t>国税庁No.2732</t>
  </si>
  <si>
    <t>前の退職手当等の換算年数</t>
  </si>
  <si>
    <t>控除未満の場合に金額から換算</t>
  </si>
  <si>
    <t>要確認</t>
  </si>
  <si>
    <t>受取順序から自動判定</t>
  </si>
  <si>
    <t>重複調整の対象となる受取間隔</t>
  </si>
  <si>
    <t>前の退職手当等の受取日が確認期間内か</t>
  </si>
  <si>
    <t>受取日・確認期間</t>
  </si>
  <si>
    <t>実際の重複期間</t>
  </si>
  <si>
    <t>重複がある場合だけ、両制度の期間から算定</t>
  </si>
  <si>
    <t>要計算</t>
  </si>
  <si>
    <t>後の調整後控除額</t>
  </si>
  <si>
    <t>重複なしなら本来の控除額をそのまま使用</t>
  </si>
  <si>
    <t>重複期間がある場合のみ調整</t>
  </si>
  <si>
    <t>計算の分岐</t>
  </si>
  <si>
    <t>重複なし → 通常の退職所得控除。重複あり → 重複期間に応じた控除額調整へ切替。</t>
  </si>
  <si>
    <t>今回の設計上の重要ポイント</t>
  </si>
  <si>
    <t>このシートは入力B10による「1ケース」の計算。複数のDC受取時期を並べるのは「受取時期比較」です。</t>
  </si>
  <si>
    <t>重要</t>
  </si>
  <si>
    <t>実際の重複期間は、各制度の開始日・終了日と、前の退職手当等の受取時期を基に確定する必要があります。ここでは重複なしの場合は通常控除に戻し、重複ありの場合だけ詳細計算へ切り替える構造にしています。</t>
  </si>
  <si>
    <t>制度説明</t>
  </si>
  <si>
    <t>控除を2回受けられる可能性</t>
  </si>
  <si>
    <t>会社退職金と企業型DC一時金は、それぞれ退職所得控除の対象となり得ますが、重複期間がある場合は控除額の調整が必要です。</t>
  </si>
  <si>
    <t>受取時期の調整効果</t>
  </si>
  <si>
    <t>受取時期によって調整対象となる期間や重複状況が変わり、調整後控除額・課税額・手取り額が変わる可能性があります。</t>
  </si>
  <si>
    <t>このシートの重複期間は簡易的な確認値です。実際の申告用には、受取日、加入期間、制度移行・資産移換、過去の退職手当等を確認したうえで、法令に沿った計算が必要です。</t>
  </si>
  <si>
    <t>受取時期比較（入力ケースとは別の複数ケース比較）</t>
  </si>
  <si>
    <t>目的</t>
  </si>
  <si>
    <t>DC受取日を変えた場合の受取順序・9年/19年判定と、手取り差を比較するための参考表。ここは入力シートの1個の受取日とは別物です。</t>
  </si>
  <si>
    <t>ケース</t>
  </si>
  <si>
    <t>DC受取日</t>
  </si>
  <si>
    <t>会社退職金受取日</t>
  </si>
  <si>
    <t>DC金額</t>
  </si>
  <si>
    <t>確認期間</t>
  </si>
  <si>
    <t>重複調整対象</t>
  </si>
  <si>
    <t>前の退職手当等金額</t>
  </si>
  <si>
    <t>重複期間開始日</t>
  </si>
  <si>
    <t>重複期間終了日</t>
  </si>
  <si>
    <t>実際の重複年度</t>
  </si>
  <si>
    <t>会社調整後控除</t>
  </si>
  <si>
    <t>会社課税退職所得</t>
  </si>
  <si>
    <t>DC課税退職所得</t>
  </si>
  <si>
    <t>会社所得税率</t>
  </si>
  <si>
    <t>会社所得税等</t>
  </si>
  <si>
    <t>DC所得税率</t>
  </si>
  <si>
    <t>DC所得税等</t>
  </si>
  <si>
    <t>会社住民税</t>
  </si>
  <si>
    <t>DC住民税</t>
  </si>
  <si>
    <t>合計税額</t>
  </si>
  <si>
    <t>税引後手取り</t>
  </si>
  <si>
    <t>計算内容・根拠</t>
  </si>
  <si>
    <t>機械的換算年数（参考）</t>
  </si>
  <si>
    <t>適用年数</t>
  </si>
  <si>
    <t>同年所得税率</t>
  </si>
  <si>
    <t>同年所得税等</t>
  </si>
  <si>
    <t>同年住民税</t>
  </si>
  <si>
    <t>同年税引後手取り</t>
  </si>
  <si>
    <t>計算式・制度根拠（国税庁 No.2732）</t>
  </si>
  <si>
    <t>① 前の退職手当等の金額が本来の控除額未満</t>
  </si>
  <si>
    <t>800万円以下：収入金額÷40万円 ／ 800万円超：（収入金額－800万円）÷70万円＋20。1未満の端数切捨て。</t>
  </si>
  <si>
    <t>同年受取の計算式</t>
  </si>
  <si>
    <t>No.2735：同年の退職手当等を合算し、2制度の勤続期間を統合して退職所得控除額を計算します。</t>
  </si>
  <si>
    <t>退職所得控除額</t>
  </si>
  <si>
    <t>20年以下：MAX(40万円×A,80万円) ／ 20年超：800万円＋70万円×(A－20)</t>
  </si>
  <si>
    <t>課税退職所得</t>
  </si>
  <si>
    <t>（同年合算収入金額－退職所得控除額）×1/2、1,000円未満切捨て</t>
  </si>
  <si>
    <t>税額</t>
  </si>
  <si>
    <t>課税退職所得金額を速算表に適用し、102.1%を乗算</t>
  </si>
  <si>
    <t>退職所得の計算</t>
  </si>
  <si>
    <t>誕生日</t>
  </si>
  <si>
    <t>入社年月日</t>
  </si>
  <si>
    <t>退職年月日</t>
  </si>
  <si>
    <t>退職時年齢</t>
  </si>
  <si>
    <t>勤続年数</t>
  </si>
  <si>
    <t>※1</t>
  </si>
  <si>
    <t>退職金支給額</t>
  </si>
  <si>
    <t>（収入金額（源泉徴収される前の金額） － 退職所得控除額） × 1 ／ 2 ＝ 退職所得の金額。ただし1000円未満は0円。</t>
  </si>
  <si>
    <t>所得税率</t>
  </si>
  <si>
    <t>※2</t>
  </si>
  <si>
    <t>所得税控除額</t>
  </si>
  <si>
    <t>所得税の速算表 ※2</t>
  </si>
  <si>
    <t>退職所得控除額の計算方法　※1</t>
  </si>
  <si>
    <t>住民税計算　※3</t>
  </si>
  <si>
    <t>所得税(復興含む)</t>
  </si>
  <si>
    <t>課税所得(以上)</t>
  </si>
  <si>
    <t>課税される所得金額</t>
  </si>
  <si>
    <t>税率</t>
  </si>
  <si>
    <t>控除額</t>
  </si>
  <si>
    <t>退職所得控除額は、次のように計算します。</t>
  </si>
  <si>
    <t>課税退職所得 ✕税率10%</t>
  </si>
  <si>
    <t>住民税</t>
  </si>
  <si>
    <t>※3</t>
  </si>
  <si>
    <t>1,000円 から 1,949,000円まで</t>
  </si>
  <si>
    <t>退職所得控除額の計算の表</t>
  </si>
  <si>
    <t>特別徴収すべき税額（市町村民税額、道府県民税額）に、百円未満の端数がある場合は、</t>
  </si>
  <si>
    <t>手取額</t>
  </si>
  <si>
    <t>1,950,000円 から 3,299,000円まで</t>
  </si>
  <si>
    <t>勤続年数(＝A)</t>
  </si>
  <si>
    <t>それぞれ百円単位未満の端数を切り捨てる（特別徴収税額は100円単位）。</t>
  </si>
  <si>
    <t>3,300,000円 から 6,949,000円まで</t>
  </si>
  <si>
    <t>20年以下</t>
  </si>
  <si>
    <t xml:space="preserve">	40万円 × A</t>
  </si>
  <si>
    <t>6,950,000円 から 8,999,000円まで</t>
  </si>
  <si>
    <t>(80万円に満たない場合には、80万円)</t>
  </si>
  <si>
    <t>9,000,000円 から 17,999,000円まで</t>
  </si>
  <si>
    <t>20年超</t>
  </si>
  <si>
    <t>800万円 ＋ 70万円 × (A - 20年)</t>
  </si>
  <si>
    <t>18,000,000円 から 39,999,000円まで</t>
  </si>
  <si>
    <t>40,000,000円 以上</t>
  </si>
  <si>
    <t>参照情報：</t>
  </si>
  <si>
    <t>No.1420 退職金を受け取ったとき(退職所得)</t>
  </si>
  <si>
    <t>https://www.nta.go.jp/taxes/shiraberu/taxanswer/shotoku/1420.htm</t>
  </si>
  <si>
    <t>No.2260 所得税の税率</t>
  </si>
  <si>
    <t>https://www.nta.go.jp/taxes/shiraberu/taxanswer/shotoku/2260.htm</t>
  </si>
  <si>
    <t>No.2507 復興特別所得税の源泉徴収</t>
  </si>
  <si>
    <t>https://www.nta.go.jp/taxes/shiraberu/taxanswer/gensen/2507.htm</t>
  </si>
  <si>
    <t>退職所得に対する住民税の特別徴収について</t>
  </si>
  <si>
    <t>https://www.soumu.go.jp/main_sosiki/jichi_zeisei/czaisei/65871.html</t>
  </si>
  <si>
    <t>説明・参照情報</t>
  </si>
  <si>
    <t>このファイルの位置づけ</t>
  </si>
  <si>
    <t>会社退職金、企業型DC、iDeCo、DBの一時金について、確認済みの計算用年数を入力して個別の参考計算を行う検討版です。</t>
  </si>
  <si>
    <t>入力方法</t>
  </si>
  <si>
    <t>使用しない制度は一時金受取額を0円としてください。制度移行前の期間、資産移換、過去の退職手当等、受取日などは制度資料や実施者への確認が必要です。</t>
  </si>
  <si>
    <t>計算用年数について</t>
  </si>
  <si>
    <t>企業型DC・iDeCo・DBでは、制度の加入期間だけでなく、制度移行や通算、過去の退職手当等との関係が影響する場合があります。Excelが自動推定せず、確認済みの年数を入力する方式としています。</t>
  </si>
  <si>
    <t>税務上の注意</t>
  </si>
  <si>
    <t>参照先</t>
  </si>
  <si>
    <t>国税庁：退職所得</t>
  </si>
  <si>
    <t>国税庁：確定給付企業年金等に係る課税関係</t>
  </si>
  <si>
    <t>https://www.nta.go.jp/taxes/shiraberu/taxanswer/gensen/2732.htm</t>
  </si>
  <si>
    <t>課税退職所得金額の範囲</t>
  </si>
  <si>
    <t>誕生日</t>
    <rPh sb="0" eb="3">
      <t>タンジョウビ</t>
    </rPh>
    <phoneticPr fontId="1"/>
  </si>
  <si>
    <t>DC加入終了日</t>
    <rPh sb="2" eb="4">
      <t>カニュウ</t>
    </rPh>
    <rPh sb="4" eb="7">
      <t>シュウリョウビ</t>
    </rPh>
    <phoneticPr fontId="1"/>
  </si>
  <si>
    <t>税額＝（課税退職所得金額×税率－控除額）×102.1％</t>
  </si>
  <si>
    <t>No.2735：支払済みの他の退職手当等の勤続期間と今回の退職手当等の勤続期間のうち最も長い勤続期間により勤続年数を算出する。</t>
    <phoneticPr fontId="1"/>
  </si>
  <si>
    <t xml:space="preserve">                 最も長い期間以外の期間のうち、その最も長い期間と重複していない期間がある場合は、その重複しない部分を最も長い期間に加算する。</t>
    <phoneticPr fontId="1"/>
  </si>
  <si>
    <t>同年受取の勤続年数</t>
    <rPh sb="5" eb="9">
      <t>キンゾクネンスウ</t>
    </rPh>
    <phoneticPr fontId="1"/>
  </si>
  <si>
    <t xml:space="preserve">                 この勤続年数に1年に満たない端数があるときは、1年に切り上げます。</t>
    <phoneticPr fontId="1"/>
  </si>
  <si>
    <t>https://www.nta.go.jp/taxes/shiraberu/taxanswer/gensen/2741.htm</t>
  </si>
  <si>
    <t>勤続年数</t>
    <phoneticPr fontId="1"/>
  </si>
  <si>
    <t>DC控除計算用加入終了日</t>
    <phoneticPr fontId="1"/>
  </si>
  <si>
    <t>前の本来控除額</t>
    <phoneticPr fontId="1"/>
  </si>
  <si>
    <t>前の換算年数</t>
    <phoneticPr fontId="1"/>
  </si>
  <si>
    <r>
      <t>国税庁：同じ年に一般退職手当等のほか、短期退職手当等や特定役員退職手当等がある場合[</t>
    </r>
    <r>
      <rPr>
        <b/>
        <sz val="11"/>
        <color theme="1"/>
        <rFont val="游ゴシック"/>
        <family val="3"/>
        <charset val="128"/>
        <scheme val="minor"/>
      </rPr>
      <t>この条件は未対応</t>
    </r>
    <r>
      <rPr>
        <sz val="11"/>
        <color theme="1"/>
        <rFont val="游ゴシック"/>
        <family val="2"/>
        <charset val="128"/>
        <scheme val="minor"/>
      </rPr>
      <t>]</t>
    </r>
    <rPh sb="44" eb="46">
      <t>ジョウケン</t>
    </rPh>
    <rPh sb="47" eb="50">
      <t>ミタイオウ</t>
    </rPh>
    <phoneticPr fontId="1"/>
  </si>
  <si>
    <t>手取り</t>
    <rPh sb="0" eb="2">
      <t>テド</t>
    </rPh>
    <phoneticPr fontId="1"/>
  </si>
  <si>
    <t>DC調整後控除</t>
    <phoneticPr fontId="1"/>
  </si>
  <si>
    <t>DC→会社退職金は9年、会社退職金→DCは19年。</t>
    <phoneticPr fontId="1"/>
  </si>
  <si>
    <t>DC→会社=9年、会社→DC=19年</t>
    <phoneticPr fontId="1"/>
  </si>
  <si>
    <t>前の退職手当等が控除額未満</t>
    <phoneticPr fontId="1"/>
  </si>
  <si>
    <t>会社所得税控除額</t>
    <phoneticPr fontId="1"/>
  </si>
  <si>
    <t>DC所得税控除額</t>
    <phoneticPr fontId="1"/>
  </si>
  <si>
    <t>通常の退職金＋確定拠出年金：重複調整シミュレーション</t>
    <phoneticPr fontId="1"/>
  </si>
  <si>
    <t>※本Excelでは「企業型DC」と記載していますが、退職所得として一時金で受け取る場合の税務上の重複調整については、iDeCo（個人型確定拠出年金）も基本的に同様の扱いとなります。</t>
    <phoneticPr fontId="1"/>
  </si>
  <si>
    <t>企業型DCを利用していない方で、iDeCoの一時金を受け取る場合は、「企業型DC」を「iDeCo」と読み替えて、そのままご利用ください。</t>
  </si>
  <si>
    <t>■会社退職金のみの場合用</t>
    <rPh sb="1" eb="3">
      <t>カイシャ</t>
    </rPh>
    <rPh sb="3" eb="6">
      <t>タイショクキン</t>
    </rPh>
    <rPh sb="9" eb="11">
      <t>バアイ</t>
    </rPh>
    <rPh sb="11" eb="12">
      <t>ヨウ</t>
    </rPh>
    <phoneticPr fontId="1"/>
  </si>
  <si>
    <t>github</t>
    <phoneticPr fontId="1"/>
  </si>
  <si>
    <t>https://github.com/pukkunk/retirement-income-tax-dc-excel/blob/main/README.md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</si>
</sst>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quot;¥&quot;\-#,##0"/>
    <numFmt numFmtId="176" formatCode="#&quot;年&quot;"/>
    <numFmt numFmtId="177" formatCode="yyyy/mm/dd"/>
    <numFmt numFmtId="178" formatCode="#,##0&quot;円&quot;"/>
    <numFmt numFmtId="179" formatCode="0.0%"/>
    <numFmt numFmtId="180" formatCode="0&quot;年&quot;"/>
    <numFmt numFmtId="181" formatCode="0_ "/>
  </numFmts>
  <fonts count="11"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name val="游ゴシック"/>
      <family val="3"/>
      <charset val="128"/>
      <scheme val="minor"/>
    </font>
    <font>
      <b/>
      <sz val="14"/>
      <color rgb="FFFFFFFF"/>
      <name val="游ゴシック"/>
      <family val="3"/>
      <charset val="128"/>
    </font>
    <font>
      <b/>
      <sz val="11"/>
      <name val="游ゴシック"/>
      <family val="3"/>
      <charset val="128"/>
    </font>
    <font>
      <b/>
      <sz val="11"/>
      <color rgb="FFFFFFFF"/>
      <name val="游ゴシック"/>
      <family val="3"/>
      <charset val="128"/>
    </font>
    <font>
      <b/>
      <sz val="11"/>
      <color rgb="FF9C0006"/>
      <name val="游ゴシック"/>
      <family val="3"/>
      <charset val="128"/>
    </font>
    <font>
      <b/>
      <sz val="12"/>
      <name val="游ゴシック"/>
      <family val="3"/>
      <charset val="128"/>
    </font>
    <font>
      <sz val="12"/>
      <color theme="10"/>
      <name val="游ゴシック"/>
      <family val="2"/>
      <scheme val="minor"/>
    </font>
    <font>
      <b/>
      <sz val="11"/>
      <color theme="1"/>
      <name val="游ゴシック"/>
      <family val="3"/>
      <charset val="128"/>
      <scheme val="minor"/>
    </font>
  </fonts>
  <fills count="8">
    <fill>
      <patternFill patternType="none"/>
    </fill>
    <fill>
      <patternFill patternType="gray125"/>
    </fill>
    <fill>
      <patternFill patternType="solid">
        <fgColor theme="0"/>
        <bgColor indexed="64"/>
      </patternFill>
    </fill>
    <fill>
      <patternFill patternType="solid">
        <fgColor rgb="FFFFF2CC"/>
      </patternFill>
    </fill>
    <fill>
      <patternFill patternType="solid">
        <fgColor rgb="FF1F4E78"/>
      </patternFill>
    </fill>
    <fill>
      <patternFill patternType="solid">
        <fgColor rgb="FFFFF2CC"/>
      </patternFill>
    </fill>
    <fill>
      <patternFill patternType="solid">
        <fgColor rgb="FFD9EAF7"/>
      </patternFill>
    </fill>
    <fill>
      <patternFill patternType="solid">
        <fgColor rgb="FFE2F0D9"/>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7B7B7"/>
      </left>
      <right style="thin">
        <color rgb="FFB7B7B7"/>
      </right>
      <top style="thin">
        <color rgb="FFB7B7B7"/>
      </top>
      <bottom style="thin">
        <color rgb="FFB7B7B7"/>
      </bottom>
      <diagonal/>
    </border>
    <border>
      <left/>
      <right/>
      <top/>
      <bottom style="thin">
        <color rgb="FFD9E2F3"/>
      </bottom>
      <diagonal/>
    </border>
  </borders>
  <cellStyleXfs count="2">
    <xf numFmtId="0" fontId="0" fillId="0" borderId="0">
      <alignment vertical="center"/>
    </xf>
    <xf numFmtId="0" fontId="2" fillId="0" borderId="0">
      <alignment vertical="center"/>
    </xf>
  </cellStyleXfs>
  <cellXfs count="75">
    <xf numFmtId="0" fontId="0" fillId="0" borderId="0" xfId="0">
      <alignment vertical="center"/>
    </xf>
    <xf numFmtId="177" fontId="3" fillId="3" borderId="1" xfId="0" applyNumberFormat="1" applyFont="1" applyFill="1" applyBorder="1" applyAlignment="1" applyProtection="1">
      <protection locked="0"/>
    </xf>
    <xf numFmtId="0" fontId="0" fillId="0" borderId="0" xfId="0" applyAlignment="1"/>
    <xf numFmtId="0" fontId="5" fillId="0" borderId="0" xfId="0" applyFont="1" applyAlignment="1"/>
    <xf numFmtId="178" fontId="3" fillId="3" borderId="1" xfId="0" applyNumberFormat="1" applyFont="1" applyFill="1" applyBorder="1" applyAlignment="1" applyProtection="1">
      <protection locked="0"/>
    </xf>
    <xf numFmtId="14" fontId="0" fillId="5" borderId="4" xfId="0" applyNumberFormat="1" applyFill="1" applyBorder="1" applyAlignment="1" applyProtection="1">
      <alignment vertical="center" wrapText="1"/>
      <protection locked="0"/>
    </xf>
    <xf numFmtId="177" fontId="0" fillId="5" borderId="4" xfId="0" applyNumberFormat="1" applyFill="1" applyBorder="1" applyAlignment="1" applyProtection="1">
      <protection locked="0"/>
    </xf>
    <xf numFmtId="177" fontId="0" fillId="5" borderId="5" xfId="0" applyNumberFormat="1" applyFill="1" applyBorder="1" applyAlignment="1" applyProtection="1">
      <alignment vertical="top" wrapText="1"/>
      <protection locked="0"/>
    </xf>
    <xf numFmtId="3" fontId="0" fillId="5" borderId="5" xfId="0" applyNumberFormat="1" applyFill="1" applyBorder="1" applyAlignment="1" applyProtection="1">
      <alignment vertical="top" wrapText="1"/>
      <protection locked="0"/>
    </xf>
    <xf numFmtId="0" fontId="2" fillId="0" borderId="0" xfId="1">
      <alignment vertical="center"/>
    </xf>
    <xf numFmtId="0" fontId="0" fillId="0" borderId="0" xfId="0" applyAlignment="1" applyProtection="1">
      <protection hidden="1"/>
    </xf>
    <xf numFmtId="0" fontId="0" fillId="0" borderId="0" xfId="0" applyProtection="1">
      <alignment vertical="center"/>
      <protection hidden="1"/>
    </xf>
    <xf numFmtId="0" fontId="5" fillId="6" borderId="5" xfId="0" applyFont="1" applyFill="1" applyBorder="1" applyAlignment="1" applyProtection="1">
      <alignment vertical="top" wrapText="1"/>
      <protection hidden="1"/>
    </xf>
    <xf numFmtId="0" fontId="0" fillId="0" borderId="5" xfId="0" applyBorder="1" applyAlignment="1" applyProtection="1">
      <alignment vertical="top" wrapText="1"/>
      <protection hidden="1"/>
    </xf>
    <xf numFmtId="0" fontId="0" fillId="0" borderId="0" xfId="0" applyAlignment="1" applyProtection="1">
      <alignment horizontal="right" vertical="center"/>
      <protection hidden="1"/>
    </xf>
    <xf numFmtId="177" fontId="0" fillId="0" borderId="4" xfId="0" applyNumberFormat="1" applyBorder="1" applyAlignment="1" applyProtection="1">
      <protection hidden="1"/>
    </xf>
    <xf numFmtId="3" fontId="5" fillId="7" borderId="5" xfId="0" applyNumberFormat="1" applyFont="1" applyFill="1" applyBorder="1" applyAlignment="1" applyProtection="1">
      <alignment vertical="top" wrapText="1"/>
      <protection hidden="1"/>
    </xf>
    <xf numFmtId="3" fontId="0" fillId="7" borderId="5" xfId="0" applyNumberFormat="1" applyFill="1" applyBorder="1" applyAlignment="1" applyProtection="1">
      <alignment vertical="top" wrapText="1"/>
      <protection hidden="1"/>
    </xf>
    <xf numFmtId="0" fontId="0" fillId="0" borderId="0" xfId="0" applyAlignment="1" applyProtection="1">
      <alignment horizontal="left" vertical="top" wrapText="1"/>
      <protection hidden="1"/>
    </xf>
    <xf numFmtId="0" fontId="5" fillId="0" borderId="5"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7" borderId="5" xfId="0" applyFill="1" applyBorder="1" applyAlignment="1" applyProtection="1">
      <alignment vertical="top" wrapText="1"/>
      <protection hidden="1"/>
    </xf>
    <xf numFmtId="177" fontId="0" fillId="7" borderId="5" xfId="0" applyNumberFormat="1" applyFill="1" applyBorder="1" applyAlignment="1" applyProtection="1">
      <alignment vertical="top" wrapText="1"/>
      <protection hidden="1"/>
    </xf>
    <xf numFmtId="0" fontId="5" fillId="6" borderId="4" xfId="0" applyFont="1" applyFill="1" applyBorder="1" applyAlignment="1" applyProtection="1">
      <alignment horizontal="center" vertical="center" wrapText="1"/>
      <protection hidden="1"/>
    </xf>
    <xf numFmtId="0" fontId="5" fillId="6" borderId="0" xfId="0" applyFont="1" applyFill="1" applyAlignment="1" applyProtection="1">
      <alignment horizontal="center" vertical="center" wrapText="1"/>
      <protection hidden="1"/>
    </xf>
    <xf numFmtId="0" fontId="0" fillId="0" borderId="4" xfId="0" applyBorder="1" applyAlignment="1" applyProtection="1">
      <alignment vertical="center" wrapText="1"/>
      <protection hidden="1"/>
    </xf>
    <xf numFmtId="14" fontId="0" fillId="7" borderId="4" xfId="0" applyNumberFormat="1" applyFill="1" applyBorder="1" applyAlignment="1" applyProtection="1">
      <alignment vertical="center" wrapText="1"/>
      <protection hidden="1"/>
    </xf>
    <xf numFmtId="5" fontId="0" fillId="7" borderId="4" xfId="0" applyNumberFormat="1" applyFill="1" applyBorder="1" applyAlignment="1" applyProtection="1">
      <alignment vertical="center" wrapText="1"/>
      <protection hidden="1"/>
    </xf>
    <xf numFmtId="3" fontId="0" fillId="7" borderId="4" xfId="0" applyNumberFormat="1" applyFill="1" applyBorder="1" applyAlignment="1" applyProtection="1">
      <alignment vertical="center" wrapText="1"/>
      <protection hidden="1"/>
    </xf>
    <xf numFmtId="5" fontId="0" fillId="7" borderId="0" xfId="0" applyNumberFormat="1" applyFill="1" applyAlignment="1" applyProtection="1">
      <alignment vertical="center" wrapText="1"/>
      <protection hidden="1"/>
    </xf>
    <xf numFmtId="180" fontId="0" fillId="7" borderId="0" xfId="0" applyNumberFormat="1" applyFill="1" applyAlignment="1" applyProtection="1">
      <alignment vertical="center" wrapText="1"/>
      <protection hidden="1"/>
    </xf>
    <xf numFmtId="14" fontId="0" fillId="7" borderId="0" xfId="0" applyNumberFormat="1" applyFill="1" applyAlignment="1" applyProtection="1">
      <alignment vertical="center" wrapText="1"/>
      <protection hidden="1"/>
    </xf>
    <xf numFmtId="9" fontId="0" fillId="7" borderId="0" xfId="0" applyNumberFormat="1" applyFill="1" applyAlignment="1" applyProtection="1">
      <alignment vertical="center" wrapText="1"/>
      <protection hidden="1"/>
    </xf>
    <xf numFmtId="180" fontId="0" fillId="0" borderId="0" xfId="0" applyNumberFormat="1" applyProtection="1">
      <alignment vertical="center"/>
      <protection hidden="1"/>
    </xf>
    <xf numFmtId="181" fontId="0" fillId="0" borderId="0" xfId="0" applyNumberFormat="1" applyProtection="1">
      <alignment vertical="center"/>
      <protection hidden="1"/>
    </xf>
    <xf numFmtId="5" fontId="0" fillId="0" borderId="0" xfId="0" applyNumberFormat="1" applyProtection="1">
      <alignment vertical="center"/>
      <protection hidden="1"/>
    </xf>
    <xf numFmtId="9" fontId="0" fillId="0" borderId="0" xfId="0" applyNumberFormat="1" applyProtection="1">
      <alignment vertical="center"/>
      <protection hidden="1"/>
    </xf>
    <xf numFmtId="0" fontId="8" fillId="0" borderId="0" xfId="0" applyFont="1" applyAlignment="1" applyProtection="1">
      <protection hidden="1"/>
    </xf>
    <xf numFmtId="14" fontId="0" fillId="0" borderId="0" xfId="0" applyNumberFormat="1" applyAlignment="1" applyProtection="1">
      <alignment vertical="center" wrapText="1"/>
      <protection hidden="1"/>
    </xf>
    <xf numFmtId="0" fontId="5" fillId="6" borderId="4" xfId="0" applyFont="1" applyFill="1" applyBorder="1" applyAlignment="1" applyProtection="1">
      <protection hidden="1"/>
    </xf>
    <xf numFmtId="0" fontId="0" fillId="0" borderId="0" xfId="0" applyAlignment="1" applyProtection="1">
      <alignment vertical="top"/>
      <protection hidden="1"/>
    </xf>
    <xf numFmtId="0" fontId="0" fillId="0" borderId="0" xfId="0" applyAlignment="1" applyProtection="1">
      <alignment vertical="top" wrapText="1"/>
      <protection hidden="1"/>
    </xf>
    <xf numFmtId="0" fontId="5" fillId="0" borderId="0" xfId="0" applyFont="1" applyAlignment="1" applyProtection="1">
      <protection hidden="1"/>
    </xf>
    <xf numFmtId="0" fontId="9" fillId="0" borderId="0" xfId="0" applyFont="1" applyAlignment="1" applyProtection="1">
      <protection hidden="1"/>
    </xf>
    <xf numFmtId="0" fontId="0" fillId="0" borderId="1" xfId="0" applyBorder="1" applyProtection="1">
      <alignment vertical="center"/>
      <protection hidden="1"/>
    </xf>
    <xf numFmtId="176" fontId="0" fillId="0" borderId="1" xfId="0" applyNumberFormat="1" applyBorder="1" applyProtection="1">
      <alignment vertical="center"/>
      <protection hidden="1"/>
    </xf>
    <xf numFmtId="178" fontId="0" fillId="0" borderId="1" xfId="0" applyNumberFormat="1" applyBorder="1" applyProtection="1">
      <alignment vertical="center"/>
      <protection hidden="1"/>
    </xf>
    <xf numFmtId="179" fontId="0" fillId="0" borderId="1" xfId="0" applyNumberFormat="1" applyBorder="1" applyProtection="1">
      <alignment vertical="center"/>
      <protection hidden="1"/>
    </xf>
    <xf numFmtId="0" fontId="0" fillId="2" borderId="0" xfId="0" applyFill="1" applyProtection="1">
      <alignment vertical="center"/>
      <protection hidden="1"/>
    </xf>
    <xf numFmtId="0" fontId="0" fillId="2" borderId="1" xfId="0" applyFill="1" applyBorder="1" applyProtection="1">
      <alignment vertical="center"/>
      <protection hidden="1"/>
    </xf>
    <xf numFmtId="9" fontId="0" fillId="2" borderId="1" xfId="0" applyNumberFormat="1" applyFill="1" applyBorder="1" applyProtection="1">
      <alignment vertical="center"/>
      <protection hidden="1"/>
    </xf>
    <xf numFmtId="178" fontId="0" fillId="0" borderId="1" xfId="0" applyNumberFormat="1" applyBorder="1" applyAlignment="1" applyProtection="1">
      <protection hidden="1"/>
    </xf>
    <xf numFmtId="3" fontId="0" fillId="2" borderId="1" xfId="0" applyNumberFormat="1" applyFill="1" applyBorder="1" applyProtection="1">
      <alignment vertical="center"/>
      <protection hidden="1"/>
    </xf>
    <xf numFmtId="0" fontId="0" fillId="2" borderId="2" xfId="0" applyFill="1" applyBorder="1" applyProtection="1">
      <alignment vertical="center"/>
      <protection hidden="1"/>
    </xf>
    <xf numFmtId="0" fontId="0" fillId="0" borderId="3" xfId="0" applyBorder="1" applyProtection="1">
      <alignment vertical="center"/>
      <protection hidden="1"/>
    </xf>
    <xf numFmtId="0" fontId="0" fillId="2" borderId="3" xfId="0" applyFill="1" applyBorder="1" applyProtection="1">
      <alignment vertical="center"/>
      <protection hidden="1"/>
    </xf>
    <xf numFmtId="0" fontId="2" fillId="0" borderId="0" xfId="1" applyProtection="1">
      <alignment vertical="center"/>
      <protection hidden="1"/>
    </xf>
    <xf numFmtId="3" fontId="5" fillId="0" borderId="4" xfId="0" applyNumberFormat="1" applyFont="1" applyBorder="1" applyAlignment="1"/>
    <xf numFmtId="9" fontId="5" fillId="0" borderId="4" xfId="0" applyNumberFormat="1" applyFont="1" applyBorder="1" applyAlignment="1"/>
    <xf numFmtId="3" fontId="0" fillId="0" borderId="4" xfId="0" applyNumberFormat="1" applyBorder="1" applyAlignment="1"/>
    <xf numFmtId="9" fontId="0" fillId="0" borderId="4" xfId="0" applyNumberFormat="1" applyBorder="1" applyAlignment="1"/>
    <xf numFmtId="0" fontId="2" fillId="0" borderId="0" xfId="1" applyProtection="1">
      <alignment vertical="center"/>
      <protection locked="0" hidden="1"/>
    </xf>
    <xf numFmtId="0" fontId="0" fillId="0" borderId="0" xfId="0" applyAlignment="1" applyProtection="1">
      <alignment horizontal="left" vertical="top" wrapText="1"/>
      <protection hidden="1"/>
    </xf>
    <xf numFmtId="0" fontId="4" fillId="4" borderId="0" xfId="0" applyFont="1" applyFill="1" applyAlignment="1" applyProtection="1">
      <alignment horizontal="center" vertical="top" wrapText="1"/>
      <protection hidden="1"/>
    </xf>
    <xf numFmtId="0" fontId="0" fillId="0" borderId="5" xfId="0" applyBorder="1" applyAlignment="1" applyProtection="1">
      <alignment horizontal="left" vertical="top" wrapText="1"/>
      <protection hidden="1"/>
    </xf>
    <xf numFmtId="0" fontId="6" fillId="4" borderId="0" xfId="0" applyFont="1" applyFill="1" applyAlignment="1" applyProtection="1">
      <alignment horizontal="left" vertical="top" wrapText="1"/>
      <protection hidden="1"/>
    </xf>
    <xf numFmtId="0" fontId="6" fillId="4" borderId="5" xfId="0" applyFont="1" applyFill="1" applyBorder="1" applyAlignment="1" applyProtection="1">
      <alignment vertical="top" wrapText="1"/>
      <protection hidden="1"/>
    </xf>
    <xf numFmtId="0" fontId="0" fillId="0" borderId="0" xfId="0" applyAlignment="1" applyProtection="1">
      <protection hidden="1"/>
    </xf>
    <xf numFmtId="0" fontId="4" fillId="4" borderId="5" xfId="0" applyFont="1" applyFill="1" applyBorder="1" applyAlignment="1" applyProtection="1">
      <alignment horizontal="center" vertical="top" wrapText="1"/>
      <protection hidden="1"/>
    </xf>
    <xf numFmtId="0" fontId="0" fillId="0" borderId="5" xfId="0" applyBorder="1" applyAlignment="1" applyProtection="1">
      <alignment vertical="top" wrapText="1"/>
      <protection hidden="1"/>
    </xf>
    <xf numFmtId="0" fontId="4" fillId="4" borderId="0" xfId="0" applyFont="1" applyFill="1" applyAlignment="1" applyProtection="1">
      <alignment horizontal="center"/>
      <protection hidden="1"/>
    </xf>
    <xf numFmtId="0" fontId="4" fillId="4" borderId="0" xfId="0" applyFont="1" applyFill="1" applyAlignment="1"/>
    <xf numFmtId="0" fontId="0" fillId="0" borderId="0" xfId="0" applyAlignment="1"/>
    <xf numFmtId="0" fontId="0" fillId="0" borderId="0" xfId="0" applyAlignment="1">
      <alignment vertical="top" wrapText="1"/>
    </xf>
    <xf numFmtId="0" fontId="2"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124557</xdr:colOff>
          <xdr:row>17</xdr:row>
          <xdr:rowOff>0</xdr:rowOff>
        </xdr:from>
        <xdr:to>
          <xdr:col>8</xdr:col>
          <xdr:colOff>507022</xdr:colOff>
          <xdr:row>26</xdr:row>
          <xdr:rowOff>19050</xdr:rowOff>
        </xdr:to>
        <xdr:pic>
          <xdr:nvPicPr>
            <xdr:cNvPr id="2" name="図 1">
              <a:extLst>
                <a:ext uri="{FF2B5EF4-FFF2-40B4-BE49-F238E27FC236}">
                  <a16:creationId xmlns:a16="http://schemas.microsoft.com/office/drawing/2014/main" id="{EEA8256B-AD71-45CC-A825-82A8358F51E3}"/>
                </a:ext>
              </a:extLst>
            </xdr:cNvPr>
            <xdr:cNvPicPr>
              <a:picLocks noChangeAspect="1" noChangeArrowheads="1"/>
              <a:extLst>
                <a:ext uri="{84589F7E-364E-4C9E-8A38-B11213B215E9}">
                  <a14:cameraTool cellRange="$R$12:$T$20" spid="_x0000_s4348"/>
                </a:ext>
              </a:extLst>
            </xdr:cNvPicPr>
          </xdr:nvPicPr>
          <xdr:blipFill>
            <a:blip xmlns:r="http://schemas.openxmlformats.org/officeDocument/2006/relationships" r:embed="rId1"/>
            <a:srcRect/>
            <a:stretch>
              <a:fillRect/>
            </a:stretch>
          </xdr:blipFill>
          <xdr:spPr bwMode="auto">
            <a:xfrm>
              <a:off x="4315557" y="3626827"/>
              <a:ext cx="3738196" cy="219514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161192</xdr:colOff>
          <xdr:row>17</xdr:row>
          <xdr:rowOff>58616</xdr:rowOff>
        </xdr:from>
        <xdr:to>
          <xdr:col>3</xdr:col>
          <xdr:colOff>896815</xdr:colOff>
          <xdr:row>24</xdr:row>
          <xdr:rowOff>68142</xdr:rowOff>
        </xdr:to>
        <xdr:pic>
          <xdr:nvPicPr>
            <xdr:cNvPr id="3" name="図 2">
              <a:extLst>
                <a:ext uri="{FF2B5EF4-FFF2-40B4-BE49-F238E27FC236}">
                  <a16:creationId xmlns:a16="http://schemas.microsoft.com/office/drawing/2014/main" id="{77E30D82-56FA-4AAC-8B83-E9F7459085D4}"/>
                </a:ext>
              </a:extLst>
            </xdr:cNvPr>
            <xdr:cNvPicPr>
              <a:picLocks noChangeAspect="1" noChangeArrowheads="1"/>
              <a:extLst>
                <a:ext uri="{84589F7E-364E-4C9E-8A38-B11213B215E9}">
                  <a14:cameraTool cellRange="$N$12:$O$18" spid="_x0000_s4349"/>
                </a:ext>
              </a:extLst>
            </xdr:cNvPicPr>
          </xdr:nvPicPr>
          <xdr:blipFill>
            <a:blip xmlns:r="http://schemas.openxmlformats.org/officeDocument/2006/relationships" r:embed="rId2"/>
            <a:srcRect/>
            <a:stretch>
              <a:fillRect/>
            </a:stretch>
          </xdr:blipFill>
          <xdr:spPr bwMode="auto">
            <a:xfrm>
              <a:off x="161192" y="3685443"/>
              <a:ext cx="3776296" cy="170204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175846</xdr:colOff>
          <xdr:row>26</xdr:row>
          <xdr:rowOff>124558</xdr:rowOff>
        </xdr:from>
        <xdr:to>
          <xdr:col>5</xdr:col>
          <xdr:colOff>632313</xdr:colOff>
          <xdr:row>30</xdr:row>
          <xdr:rowOff>134083</xdr:rowOff>
        </xdr:to>
        <xdr:pic>
          <xdr:nvPicPr>
            <xdr:cNvPr id="4" name="図 3">
              <a:extLst>
                <a:ext uri="{FF2B5EF4-FFF2-40B4-BE49-F238E27FC236}">
                  <a16:creationId xmlns:a16="http://schemas.microsoft.com/office/drawing/2014/main" id="{6B83C835-5DFC-445D-AC87-A97F087BCB0F}"/>
                </a:ext>
              </a:extLst>
            </xdr:cNvPr>
            <xdr:cNvPicPr>
              <a:picLocks noChangeAspect="1" noChangeArrowheads="1"/>
              <a:extLst>
                <a:ext uri="{84589F7E-364E-4C9E-8A38-B11213B215E9}">
                  <a14:cameraTool cellRange="$V$12:$V$15" spid="_x0000_s4350"/>
                </a:ext>
              </a:extLst>
            </xdr:cNvPicPr>
          </xdr:nvPicPr>
          <xdr:blipFill>
            <a:blip xmlns:r="http://schemas.openxmlformats.org/officeDocument/2006/relationships" r:embed="rId3"/>
            <a:srcRect/>
            <a:stretch>
              <a:fillRect/>
            </a:stretch>
          </xdr:blipFill>
          <xdr:spPr bwMode="auto">
            <a:xfrm>
              <a:off x="175846" y="5927481"/>
              <a:ext cx="5636602" cy="97667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github.com/pukkunk/retirement-income-tax-dc-excel/blob/main/README.md"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ta.go.jp/taxes/shiraberu/taxanswer/gensen/2507.htm" TargetMode="External"/><Relationship Id="rId7" Type="http://schemas.openxmlformats.org/officeDocument/2006/relationships/vmlDrawing" Target="../drawings/vmlDrawing3.vml"/><Relationship Id="rId2" Type="http://schemas.openxmlformats.org/officeDocument/2006/relationships/hyperlink" Target="https://www.nta.go.jp/taxes/shiraberu/taxanswer/shotoku/2260.htm" TargetMode="External"/><Relationship Id="rId1" Type="http://schemas.openxmlformats.org/officeDocument/2006/relationships/hyperlink" Target="https://www.nta.go.jp/taxes/shiraberu/taxanswer/shotoku/1420.htm"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https://www.soumu.go.jp/main_sosiki/jichi_zeisei/czaisei/65871.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nta.go.jp/taxes/shiraberu/taxanswer/gensen/2741.htm" TargetMode="External"/><Relationship Id="rId2" Type="http://schemas.openxmlformats.org/officeDocument/2006/relationships/hyperlink" Target="https://www.nta.go.jp/taxes/shiraberu/taxanswer/gensen/2732.htm" TargetMode="External"/><Relationship Id="rId1" Type="http://schemas.openxmlformats.org/officeDocument/2006/relationships/hyperlink" Target="https://www.nta.go.jp/taxes/shiraberu/taxanswer/shotoku/1420.htm" TargetMode="External"/><Relationship Id="rId6" Type="http://schemas.openxmlformats.org/officeDocument/2006/relationships/comments" Target="../comments3.xml"/><Relationship Id="rId5" Type="http://schemas.openxmlformats.org/officeDocument/2006/relationships/vmlDrawing" Target="../drawings/vmlDrawing4.v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tabSelected="1" workbookViewId="0">
      <pane ySplit="5" topLeftCell="A6" activePane="bottomLeft" state="frozen"/>
      <selection pane="bottomLeft" activeCell="B6" sqref="B6"/>
    </sheetView>
  </sheetViews>
  <sheetFormatPr defaultRowHeight="18.75" x14ac:dyDescent="0.4"/>
  <cols>
    <col min="1" max="1" width="34" style="10" customWidth="1"/>
    <col min="2" max="2" width="22.25" style="10" customWidth="1"/>
    <col min="3" max="3" width="96.875" style="10" customWidth="1"/>
    <col min="4" max="4" width="8.5" style="10" customWidth="1"/>
    <col min="5" max="5" width="9" style="11"/>
    <col min="6" max="6" width="11.375" style="11" bestFit="1" customWidth="1"/>
    <col min="7" max="16384" width="9" style="11"/>
  </cols>
  <sheetData>
    <row r="1" spans="1:6" ht="18.75" customHeight="1" x14ac:dyDescent="0.4">
      <c r="A1" s="63" t="s">
        <v>230</v>
      </c>
      <c r="B1" s="63"/>
      <c r="C1" s="63"/>
    </row>
    <row r="2" spans="1:6" x14ac:dyDescent="0.4">
      <c r="A2" s="10" t="s">
        <v>231</v>
      </c>
    </row>
    <row r="3" spans="1:6" x14ac:dyDescent="0.4">
      <c r="A3" s="10" t="s">
        <v>232</v>
      </c>
    </row>
    <row r="5" spans="1:6" x14ac:dyDescent="0.4">
      <c r="A5" s="12" t="s">
        <v>0</v>
      </c>
      <c r="B5" s="12" t="s">
        <v>1</v>
      </c>
      <c r="C5" s="12" t="s">
        <v>2</v>
      </c>
    </row>
    <row r="6" spans="1:6" ht="18.75" customHeight="1" x14ac:dyDescent="0.4">
      <c r="A6" s="13" t="s">
        <v>3</v>
      </c>
      <c r="B6" s="7">
        <v>32599</v>
      </c>
      <c r="C6" s="13" t="s">
        <v>4</v>
      </c>
      <c r="E6" s="11" t="s">
        <v>210</v>
      </c>
      <c r="F6" s="6">
        <v>25689</v>
      </c>
    </row>
    <row r="7" spans="1:6" ht="18.75" customHeight="1" x14ac:dyDescent="0.4">
      <c r="A7" s="13" t="s">
        <v>5</v>
      </c>
      <c r="B7" s="7">
        <v>49459</v>
      </c>
      <c r="C7" s="13" t="s">
        <v>6</v>
      </c>
      <c r="E7" s="14" t="s">
        <v>151</v>
      </c>
      <c r="F7" s="15" t="str">
        <f>DATEDIF($F$6, B7, "Y") &amp; "歳" &amp; DATEDIF($F$6, B7, "YM") &amp; "ヶ月"</f>
        <v>65歳0ヶ月</v>
      </c>
    </row>
    <row r="8" spans="1:6" ht="18.75" customHeight="1" x14ac:dyDescent="0.4">
      <c r="A8" s="13" t="s">
        <v>7</v>
      </c>
      <c r="B8" s="7">
        <v>49459</v>
      </c>
      <c r="C8" s="13" t="s">
        <v>8</v>
      </c>
    </row>
    <row r="9" spans="1:6" ht="18.75" customHeight="1" x14ac:dyDescent="0.4">
      <c r="A9" s="13" t="s">
        <v>9</v>
      </c>
      <c r="B9" s="8">
        <v>1000000</v>
      </c>
      <c r="C9" s="13" t="s">
        <v>10</v>
      </c>
    </row>
    <row r="10" spans="1:6" ht="18.75" customHeight="1" x14ac:dyDescent="0.4">
      <c r="A10" s="13" t="s">
        <v>11</v>
      </c>
      <c r="B10" s="7">
        <v>44652</v>
      </c>
      <c r="C10" s="13" t="s">
        <v>12</v>
      </c>
    </row>
    <row r="11" spans="1:6" ht="18.75" customHeight="1" x14ac:dyDescent="0.4">
      <c r="A11" s="13" t="s">
        <v>13</v>
      </c>
      <c r="B11" s="7">
        <v>49825</v>
      </c>
      <c r="C11" s="13" t="s">
        <v>12</v>
      </c>
      <c r="E11" s="11" t="s">
        <v>211</v>
      </c>
      <c r="F11" s="11" t="str">
        <f>DATEDIF($F$6, B11, "Y") &amp; "歳" &amp; DATEDIF($F$6, B11, "YM") &amp; "ヶ月"</f>
        <v>66歳0ヶ月</v>
      </c>
    </row>
    <row r="12" spans="1:6" ht="18.75" customHeight="1" x14ac:dyDescent="0.4">
      <c r="A12" s="13" t="s">
        <v>14</v>
      </c>
      <c r="B12" s="7">
        <v>46172</v>
      </c>
      <c r="C12" s="13" t="s">
        <v>15</v>
      </c>
    </row>
    <row r="13" spans="1:6" ht="18.75" customHeight="1" x14ac:dyDescent="0.4">
      <c r="A13" s="13" t="s">
        <v>16</v>
      </c>
      <c r="B13" s="8">
        <v>10000000</v>
      </c>
      <c r="C13" s="13" t="s">
        <v>17</v>
      </c>
    </row>
    <row r="14" spans="1:6" ht="18.75" customHeight="1" x14ac:dyDescent="0.4">
      <c r="A14" s="13" t="s">
        <v>18</v>
      </c>
      <c r="B14" s="16">
        <v>19</v>
      </c>
      <c r="C14" s="13" t="s">
        <v>19</v>
      </c>
    </row>
    <row r="15" spans="1:6" ht="18.75" customHeight="1" x14ac:dyDescent="0.4">
      <c r="A15" s="13" t="s">
        <v>20</v>
      </c>
      <c r="B15" s="16">
        <v>9</v>
      </c>
      <c r="C15" s="13" t="s">
        <v>21</v>
      </c>
    </row>
    <row r="16" spans="1:6" ht="18.75" customHeight="1" x14ac:dyDescent="0.4">
      <c r="A16" s="10" t="s">
        <v>22</v>
      </c>
    </row>
    <row r="17" spans="1:4" ht="18.75" customHeight="1" x14ac:dyDescent="0.4">
      <c r="A17" s="10" t="s">
        <v>23</v>
      </c>
      <c r="B17" s="10" t="str">
        <f>IF(OR(B8="",B12=""),"",IF(B12&lt;B8,"DC → 会社退職金",IF(B12&gt;B8,"会社退職金 → DC","同日受取：要確認")))</f>
        <v>DC → 会社退職金</v>
      </c>
      <c r="C17" s="10" t="s">
        <v>24</v>
      </c>
    </row>
    <row r="18" spans="1:4" ht="18.75" customHeight="1" x14ac:dyDescent="0.4">
      <c r="A18" s="12" t="s">
        <v>25</v>
      </c>
      <c r="B18" s="12" t="s">
        <v>26</v>
      </c>
      <c r="C18" s="12" t="s">
        <v>27</v>
      </c>
    </row>
    <row r="19" spans="1:4" ht="18.75" customHeight="1" x14ac:dyDescent="0.4">
      <c r="A19" s="13" t="s">
        <v>28</v>
      </c>
      <c r="B19" s="17">
        <f>IF(OR(B6="",B7=""),"",DATEDIF(B6,B7+1,"Y")+IF(DATEDIF(B6,B7+1,"YM")+DATEDIF(B6,B7+1,"MD")&gt;0,1,0))</f>
        <v>47</v>
      </c>
      <c r="C19" s="13" t="s">
        <v>29</v>
      </c>
    </row>
    <row r="20" spans="1:4" ht="18.75" customHeight="1" x14ac:dyDescent="0.4">
      <c r="A20" s="13" t="s">
        <v>30</v>
      </c>
      <c r="B20" s="17">
        <f>IF(B19="","",IF(B19&lt;=20,MAX(800000,400000*B19),8000000+700000*(B19-20)))</f>
        <v>26900000</v>
      </c>
      <c r="C20" s="13" t="s">
        <v>31</v>
      </c>
    </row>
    <row r="21" spans="1:4" ht="18.75" customHeight="1" x14ac:dyDescent="0.4">
      <c r="A21" s="13" t="s">
        <v>32</v>
      </c>
      <c r="B21" s="17">
        <f>IF(OR(B10="",B11=""),"",DATEDIF(B10,B11+1,"Y")+IF(DATEDIF(B10,B11+1,"YM")+DATEDIF(B10,B11+1,"MD")&gt;0,1,0))</f>
        <v>15</v>
      </c>
      <c r="C21" s="13" t="s">
        <v>12</v>
      </c>
    </row>
    <row r="22" spans="1:4" ht="18.75" customHeight="1" x14ac:dyDescent="0.4">
      <c r="A22" s="13" t="s">
        <v>33</v>
      </c>
      <c r="B22" s="17">
        <f>IF(B21="","",IF(B21&lt;=20,MAX(800000,400000*B21),8000000+700000*(B21-20)))</f>
        <v>6000000</v>
      </c>
      <c r="C22" s="13" t="s">
        <v>34</v>
      </c>
    </row>
    <row r="23" spans="1:4" x14ac:dyDescent="0.4">
      <c r="A23" s="10" t="s">
        <v>35</v>
      </c>
      <c r="B23" s="10">
        <f>IF(B17="DC → 会社退職金",9,IF(B17="会社退職金 → DC",19,""))</f>
        <v>9</v>
      </c>
      <c r="C23" s="10" t="s">
        <v>225</v>
      </c>
    </row>
    <row r="24" spans="1:4" x14ac:dyDescent="0.4">
      <c r="A24" s="10" t="s">
        <v>36</v>
      </c>
      <c r="B24" s="10" t="s">
        <v>37</v>
      </c>
      <c r="C24" s="10" t="s">
        <v>38</v>
      </c>
    </row>
    <row r="25" spans="1:4" ht="48" customHeight="1" x14ac:dyDescent="0.4">
      <c r="A25" s="12" t="s">
        <v>39</v>
      </c>
      <c r="B25" s="62" t="s">
        <v>40</v>
      </c>
      <c r="C25" s="62"/>
    </row>
    <row r="27" spans="1:4" ht="18.75" customHeight="1" x14ac:dyDescent="0.4">
      <c r="A27" s="12" t="s">
        <v>41</v>
      </c>
      <c r="B27" s="62" t="s">
        <v>42</v>
      </c>
      <c r="C27" s="62"/>
      <c r="D27" s="13"/>
    </row>
    <row r="28" spans="1:4" x14ac:dyDescent="0.4">
      <c r="B28" s="62"/>
      <c r="C28" s="62"/>
      <c r="D28" s="13"/>
    </row>
    <row r="29" spans="1:4" x14ac:dyDescent="0.4">
      <c r="B29" s="64"/>
      <c r="C29" s="64"/>
      <c r="D29" s="13"/>
    </row>
    <row r="30" spans="1:4" ht="18.75" customHeight="1" x14ac:dyDescent="0.4">
      <c r="A30" s="65" t="s">
        <v>43</v>
      </c>
      <c r="B30" s="65"/>
      <c r="C30" s="65"/>
    </row>
    <row r="31" spans="1:4" ht="54.95" customHeight="1" x14ac:dyDescent="0.4">
      <c r="A31" s="19" t="s">
        <v>44</v>
      </c>
      <c r="B31" s="62" t="s">
        <v>45</v>
      </c>
      <c r="C31" s="62"/>
    </row>
    <row r="32" spans="1:4" ht="54.95" customHeight="1" x14ac:dyDescent="0.4">
      <c r="A32" s="19" t="s">
        <v>46</v>
      </c>
      <c r="B32" s="62" t="s">
        <v>47</v>
      </c>
      <c r="C32" s="62"/>
      <c r="D32" s="18"/>
    </row>
    <row r="33" spans="1:4" ht="54.95" customHeight="1" x14ac:dyDescent="0.4">
      <c r="A33" s="19" t="s">
        <v>48</v>
      </c>
      <c r="B33" s="62" t="s">
        <v>49</v>
      </c>
      <c r="C33" s="62"/>
      <c r="D33" s="18"/>
    </row>
    <row r="34" spans="1:4" ht="54.95" customHeight="1" x14ac:dyDescent="0.4">
      <c r="A34" s="19" t="s">
        <v>50</v>
      </c>
      <c r="B34" s="62" t="s">
        <v>51</v>
      </c>
      <c r="C34" s="62"/>
      <c r="D34" s="18"/>
    </row>
    <row r="35" spans="1:4" ht="54.95" customHeight="1" x14ac:dyDescent="0.4">
      <c r="A35" s="19" t="s">
        <v>52</v>
      </c>
      <c r="B35" s="62" t="s">
        <v>53</v>
      </c>
      <c r="C35" s="62"/>
      <c r="D35" s="18"/>
    </row>
    <row r="36" spans="1:4" ht="18.75" customHeight="1" x14ac:dyDescent="0.4">
      <c r="A36" s="19" t="s">
        <v>54</v>
      </c>
      <c r="B36" s="62" t="s">
        <v>55</v>
      </c>
      <c r="C36" s="62"/>
    </row>
    <row r="37" spans="1:4" ht="50.1" customHeight="1" x14ac:dyDescent="0.4">
      <c r="A37" s="20" t="s">
        <v>56</v>
      </c>
      <c r="B37" s="62" t="s">
        <v>57</v>
      </c>
      <c r="C37" s="62"/>
      <c r="D37" s="18"/>
    </row>
    <row r="38" spans="1:4" x14ac:dyDescent="0.4">
      <c r="A38" s="10" t="s">
        <v>234</v>
      </c>
      <c r="B38" s="61" t="s">
        <v>235</v>
      </c>
    </row>
  </sheetData>
  <sheetProtection algorithmName="SHA-512" hashValue="DlaS1hCWqH0kVlgwnjCBh1rObj79vG6hTzGVvmohc9aXVclnpMVajncjpdBQqIFSjpIpQwRHZf42BDwIhGnZ3g==" saltValue="X78TL18obxyFCpO2AtK8Hw==" spinCount="100000" sheet="1"/>
  <mergeCells count="11">
    <mergeCell ref="B35:C35"/>
    <mergeCell ref="B36:C36"/>
    <mergeCell ref="B37:C37"/>
    <mergeCell ref="A1:C1"/>
    <mergeCell ref="B25:C25"/>
    <mergeCell ref="B27:C29"/>
    <mergeCell ref="A30:C30"/>
    <mergeCell ref="B31:C31"/>
    <mergeCell ref="B32:C32"/>
    <mergeCell ref="B33:C33"/>
    <mergeCell ref="B34:C34"/>
  </mergeCells>
  <phoneticPr fontId="1"/>
  <dataValidations count="1">
    <dataValidation type="date" allowBlank="1" showInputMessage="1" showErrorMessage="1" sqref="F6 B6:B8 B10:B12" xr:uid="{86C02B76-66A7-4EB9-B53F-3DCF102BB318}">
      <formula1>1</formula1>
      <formula2>2958465</formula2>
    </dataValidation>
  </dataValidations>
  <hyperlinks>
    <hyperlink ref="B38" r:id="rId1" xr:uid="{38D22C48-105A-4900-81A4-CF684059C2D1}"/>
  </hyperlinks>
  <pageMargins left="0.75" right="0.75" top="1" bottom="1" header="0.5" footer="0.5"/>
  <pageSetup paperSize="9" orientation="portrait" horizontalDpi="4294967293" verticalDpi="0"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showGridLines="0" workbookViewId="0">
      <pane ySplit="3" topLeftCell="A4" activePane="bottomLeft" state="frozen"/>
      <selection pane="bottomLeft" sqref="A1:XFD1048576"/>
    </sheetView>
  </sheetViews>
  <sheetFormatPr defaultRowHeight="18.75" x14ac:dyDescent="0.4"/>
  <cols>
    <col min="1" max="1" width="30" style="10" customWidth="1"/>
    <col min="2" max="2" width="22.625" style="10" customWidth="1"/>
    <col min="3" max="3" width="40.125" style="10" customWidth="1"/>
    <col min="4" max="4" width="34.875" style="10" customWidth="1"/>
    <col min="5" max="5" width="14.75" style="10" customWidth="1"/>
    <col min="6" max="6" width="12" style="10" customWidth="1"/>
    <col min="7" max="16384" width="9" style="11"/>
  </cols>
  <sheetData>
    <row r="1" spans="1:6" x14ac:dyDescent="0.4">
      <c r="A1" s="68" t="s">
        <v>58</v>
      </c>
      <c r="B1" s="67"/>
      <c r="C1" s="67"/>
      <c r="D1" s="67"/>
      <c r="E1" s="67"/>
      <c r="F1" s="67"/>
    </row>
    <row r="3" spans="1:6" ht="18.75" customHeight="1" x14ac:dyDescent="0.4">
      <c r="A3" s="12" t="s">
        <v>59</v>
      </c>
      <c r="B3" s="12" t="s">
        <v>60</v>
      </c>
      <c r="C3" s="12" t="s">
        <v>27</v>
      </c>
      <c r="D3" s="12" t="s">
        <v>61</v>
      </c>
      <c r="E3" s="12" t="s">
        <v>62</v>
      </c>
      <c r="F3" s="12"/>
    </row>
    <row r="4" spans="1:6" ht="18.75" customHeight="1" x14ac:dyDescent="0.4">
      <c r="A4" s="13" t="s">
        <v>63</v>
      </c>
      <c r="B4" s="21" t="str">
        <f>IF(入力!B17="DC → 会社退職金","企業型DC",IF(入力!B17="会社退職金 → DC","会社退職金","要確認"))</f>
        <v>企業型DC</v>
      </c>
      <c r="C4" s="21" t="s">
        <v>64</v>
      </c>
      <c r="D4" s="13" t="s">
        <v>65</v>
      </c>
      <c r="E4" s="13"/>
      <c r="F4" s="13"/>
    </row>
    <row r="5" spans="1:6" ht="18.75" customHeight="1" x14ac:dyDescent="0.4">
      <c r="A5" s="13" t="s">
        <v>66</v>
      </c>
      <c r="B5" s="22">
        <f>IF(OR(入力!B8="",入力!B12=""),"",MIN(入力!B8,入力!B12))</f>
        <v>46172</v>
      </c>
      <c r="C5" s="22" t="s">
        <v>67</v>
      </c>
      <c r="D5" s="13" t="s">
        <v>68</v>
      </c>
      <c r="E5" s="13"/>
      <c r="F5" s="13"/>
    </row>
    <row r="6" spans="1:6" ht="18.75" customHeight="1" x14ac:dyDescent="0.4">
      <c r="A6" s="13" t="s">
        <v>69</v>
      </c>
      <c r="B6" s="22">
        <f>IF(OR(入力!B8="",入力!B12=""),"",MAX(入力!B8,入力!B12))</f>
        <v>49459</v>
      </c>
      <c r="C6" s="22" t="s">
        <v>70</v>
      </c>
      <c r="D6" s="13" t="s">
        <v>68</v>
      </c>
      <c r="E6" s="13"/>
      <c r="F6" s="13"/>
    </row>
    <row r="7" spans="1:6" ht="18.75" customHeight="1" x14ac:dyDescent="0.4">
      <c r="A7" s="13" t="s">
        <v>71</v>
      </c>
      <c r="B7" s="17">
        <f>IF(B4="企業型DC",入力!B13,IF(B4="会社退職金",入力!B9,""))</f>
        <v>10000000</v>
      </c>
      <c r="C7" s="17" t="s">
        <v>72</v>
      </c>
      <c r="D7" s="13" t="s">
        <v>68</v>
      </c>
      <c r="E7" s="13"/>
      <c r="F7" s="13"/>
    </row>
    <row r="8" spans="1:6" ht="18.75" customHeight="1" x14ac:dyDescent="0.4">
      <c r="A8" s="13" t="s">
        <v>73</v>
      </c>
      <c r="B8" s="17">
        <f>IF(B4="企業型DC",入力!B21,IF(B4="会社退職金",入力!B19,""))</f>
        <v>15</v>
      </c>
      <c r="C8" s="17" t="s">
        <v>74</v>
      </c>
      <c r="D8" s="13" t="s">
        <v>68</v>
      </c>
      <c r="E8" s="13"/>
      <c r="F8" s="13"/>
    </row>
    <row r="9" spans="1:6" ht="18.75" customHeight="1" x14ac:dyDescent="0.4">
      <c r="A9" s="13" t="s">
        <v>75</v>
      </c>
      <c r="B9" s="17">
        <f>IF(B4="企業型DC",入力!B22,IF(B4="会社退職金",入力!B20,""))</f>
        <v>6000000</v>
      </c>
      <c r="C9" s="17" t="s">
        <v>34</v>
      </c>
      <c r="D9" s="13" t="s">
        <v>76</v>
      </c>
      <c r="E9" s="13"/>
      <c r="F9" s="13"/>
    </row>
    <row r="10" spans="1:6" ht="18.75" customHeight="1" x14ac:dyDescent="0.4">
      <c r="A10" s="13" t="s">
        <v>77</v>
      </c>
      <c r="B10" s="17" t="str">
        <f>IF(B7="","",IF(B7&lt;B9,"該当","非該当"))</f>
        <v>非該当</v>
      </c>
      <c r="C10" s="17" t="s">
        <v>78</v>
      </c>
      <c r="D10" s="13" t="s">
        <v>79</v>
      </c>
      <c r="E10" s="13"/>
      <c r="F10" s="13"/>
    </row>
    <row r="11" spans="1:6" ht="18.75" customHeight="1" x14ac:dyDescent="0.4">
      <c r="A11" s="13" t="s">
        <v>80</v>
      </c>
      <c r="B11" s="17">
        <f>IF(B10="該当",ROUNDDOWN(IF(B7&lt;=8000000,B7/400000,(B7-8000000)/700000+20),0),B8)</f>
        <v>15</v>
      </c>
      <c r="C11" s="17" t="s">
        <v>81</v>
      </c>
      <c r="D11" s="13" t="s">
        <v>79</v>
      </c>
      <c r="E11" s="13" t="s">
        <v>82</v>
      </c>
      <c r="F11" s="13"/>
    </row>
    <row r="12" spans="1:6" ht="18.75" customHeight="1" x14ac:dyDescent="0.4">
      <c r="A12" s="13" t="s">
        <v>35</v>
      </c>
      <c r="B12" s="17">
        <f>入力!B23</f>
        <v>9</v>
      </c>
      <c r="C12" s="17" t="s">
        <v>226</v>
      </c>
      <c r="D12" s="13" t="s">
        <v>83</v>
      </c>
      <c r="E12" s="13"/>
      <c r="F12" s="13"/>
    </row>
    <row r="13" spans="1:6" ht="18.75" customHeight="1" x14ac:dyDescent="0.4">
      <c r="A13" s="13" t="s">
        <v>84</v>
      </c>
      <c r="B13" s="17" t="str">
        <f>IF(OR(B5="",B6="",B12=""),"",IF(YEARFRAC(B5,B6,1)&lt;=B12,"対象","対象外"))</f>
        <v>対象外</v>
      </c>
      <c r="C13" s="17" t="s">
        <v>85</v>
      </c>
      <c r="D13" s="13" t="s">
        <v>86</v>
      </c>
      <c r="E13" s="13"/>
      <c r="F13" s="13" t="s">
        <v>82</v>
      </c>
    </row>
    <row r="14" spans="1:6" ht="18.75" customHeight="1" x14ac:dyDescent="0.4">
      <c r="A14" s="13" t="s">
        <v>87</v>
      </c>
      <c r="B14" s="17">
        <f>IF(B13="対象","要計算（開始日・終了日で算定）",IF(B13="対象外",0,"要確認"))</f>
        <v>0</v>
      </c>
      <c r="C14" s="17" t="s">
        <v>88</v>
      </c>
      <c r="D14" s="13" t="s">
        <v>79</v>
      </c>
      <c r="E14" s="13" t="s">
        <v>89</v>
      </c>
      <c r="F14" s="13" t="s">
        <v>82</v>
      </c>
    </row>
    <row r="15" spans="1:6" ht="18.75" customHeight="1" x14ac:dyDescent="0.4">
      <c r="A15" s="13" t="s">
        <v>90</v>
      </c>
      <c r="B15" s="17">
        <f>IF(B14=0,IF(B4="企業型DC",入力!B22,入力!B20),"要計算")</f>
        <v>6000000</v>
      </c>
      <c r="C15" s="17" t="s">
        <v>91</v>
      </c>
      <c r="D15" s="13" t="s">
        <v>92</v>
      </c>
      <c r="E15" s="13" t="s">
        <v>82</v>
      </c>
      <c r="F15" s="13" t="s">
        <v>82</v>
      </c>
    </row>
    <row r="16" spans="1:6" ht="18.75" customHeight="1" x14ac:dyDescent="0.4">
      <c r="A16" s="10" t="s">
        <v>93</v>
      </c>
      <c r="B16" s="10" t="s">
        <v>94</v>
      </c>
      <c r="C16" s="10" t="s">
        <v>95</v>
      </c>
    </row>
    <row r="17" spans="1:6" ht="18.75" customHeight="1" x14ac:dyDescent="0.4">
      <c r="A17" s="10" t="s">
        <v>36</v>
      </c>
      <c r="B17" s="10" t="s">
        <v>96</v>
      </c>
    </row>
    <row r="18" spans="1:6" ht="18.75" customHeight="1" x14ac:dyDescent="0.4"/>
    <row r="19" spans="1:6" ht="18.75" customHeight="1" x14ac:dyDescent="0.4">
      <c r="A19" s="12" t="s">
        <v>97</v>
      </c>
      <c r="B19" s="69" t="s">
        <v>98</v>
      </c>
      <c r="C19" s="67"/>
      <c r="D19" s="67"/>
      <c r="E19" s="67"/>
      <c r="F19" s="67"/>
    </row>
    <row r="20" spans="1:6" ht="18.75" customHeight="1" x14ac:dyDescent="0.4">
      <c r="B20" s="67"/>
      <c r="C20" s="67"/>
      <c r="D20" s="67"/>
      <c r="E20" s="67"/>
      <c r="F20" s="67"/>
    </row>
    <row r="21" spans="1:6" ht="18.75" customHeight="1" x14ac:dyDescent="0.4">
      <c r="B21" s="67"/>
      <c r="C21" s="67"/>
      <c r="D21" s="67"/>
      <c r="E21" s="67"/>
      <c r="F21" s="67"/>
    </row>
    <row r="22" spans="1:6" ht="18.75" customHeight="1" x14ac:dyDescent="0.4"/>
    <row r="23" spans="1:6" ht="18.75" customHeight="1" x14ac:dyDescent="0.4">
      <c r="A23" s="66" t="s">
        <v>99</v>
      </c>
      <c r="B23" s="67"/>
      <c r="C23" s="67"/>
      <c r="D23" s="67"/>
    </row>
    <row r="24" spans="1:6" ht="18.75" customHeight="1" x14ac:dyDescent="0.4">
      <c r="A24" s="13" t="s">
        <v>100</v>
      </c>
      <c r="B24" s="69" t="s">
        <v>101</v>
      </c>
      <c r="C24" s="67"/>
      <c r="D24" s="67"/>
    </row>
    <row r="25" spans="1:6" ht="18.75" customHeight="1" x14ac:dyDescent="0.4">
      <c r="A25" s="13" t="s">
        <v>102</v>
      </c>
      <c r="B25" s="69" t="s">
        <v>103</v>
      </c>
      <c r="C25" s="67"/>
      <c r="D25" s="67"/>
    </row>
    <row r="26" spans="1:6" ht="18.75" customHeight="1" x14ac:dyDescent="0.4">
      <c r="A26" s="13" t="s">
        <v>39</v>
      </c>
      <c r="B26" s="69" t="s">
        <v>104</v>
      </c>
      <c r="C26" s="67"/>
      <c r="D26" s="67"/>
    </row>
    <row r="27" spans="1:6" ht="18.75" customHeight="1" x14ac:dyDescent="0.4"/>
  </sheetData>
  <sheetProtection algorithmName="SHA-512" hashValue="8j75dRmrA6xe8KiWnttmznHgUHDPX/TT2uZEnJHlQDzN/mjOKLdrAX+ffDSC9cVqLuiZS2qUo5X5am14EDBsnw==" saltValue="zfL+G8Q6nvc3tO7tok6ytA==" spinCount="100000" sheet="1" selectLockedCells="1"/>
  <mergeCells count="6">
    <mergeCell ref="A23:D23"/>
    <mergeCell ref="A1:F1"/>
    <mergeCell ref="B26:D26"/>
    <mergeCell ref="B19:F21"/>
    <mergeCell ref="B25:D25"/>
    <mergeCell ref="B24:D24"/>
  </mergeCells>
  <phoneticPr fontId="1"/>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5"/>
  <sheetViews>
    <sheetView showGridLines="0" zoomScale="85" zoomScaleNormal="85" workbookViewId="0">
      <pane ySplit="3" topLeftCell="A4" activePane="bottomLeft" state="frozen"/>
      <selection pane="bottomLeft" activeCell="B4" sqref="B4"/>
    </sheetView>
  </sheetViews>
  <sheetFormatPr defaultRowHeight="18.75" x14ac:dyDescent="0.4"/>
  <cols>
    <col min="1" max="1" width="9" style="10" customWidth="1"/>
    <col min="2" max="2" width="13" style="10" customWidth="1"/>
    <col min="3" max="3" width="15" style="10" customWidth="1"/>
    <col min="4" max="4" width="14" style="10" customWidth="1"/>
    <col min="5" max="5" width="16" style="10" customWidth="1"/>
    <col min="6" max="6" width="20" style="10" customWidth="1"/>
    <col min="7" max="7" width="16.875" style="10" customWidth="1"/>
    <col min="8" max="8" width="18" style="10" customWidth="1"/>
    <col min="9" max="10" width="16" style="10" customWidth="1"/>
    <col min="11" max="12" width="11" style="10" customWidth="1"/>
    <col min="13" max="14" width="15" style="10" customWidth="1"/>
    <col min="15" max="15" width="12" style="10" customWidth="1"/>
    <col min="16" max="19" width="16" style="10" customWidth="1"/>
    <col min="20" max="20" width="14" style="10" customWidth="1"/>
    <col min="21" max="21" width="16" style="10" customWidth="1"/>
    <col min="22" max="22" width="12" style="10" customWidth="1"/>
    <col min="23" max="23" width="16" style="10" customWidth="1"/>
    <col min="24" max="26" width="14" style="10" customWidth="1"/>
    <col min="27" max="28" width="16" style="10" customWidth="1"/>
    <col min="29" max="29" width="20" style="10" customWidth="1"/>
    <col min="30" max="30" width="12" style="10" customWidth="1"/>
    <col min="31" max="35" width="14" style="10" customWidth="1"/>
    <col min="36" max="36" width="16" style="10" customWidth="1"/>
    <col min="37" max="38" width="14" style="10" customWidth="1"/>
    <col min="39" max="39" width="18" style="10" customWidth="1"/>
    <col min="40" max="40" width="16" style="11" customWidth="1"/>
    <col min="41" max="41" width="11.75" style="11" bestFit="1" customWidth="1"/>
    <col min="42" max="42" width="11.125" style="11" customWidth="1"/>
    <col min="43" max="43" width="12.75" style="11" customWidth="1"/>
    <col min="44" max="16384" width="9" style="11"/>
  </cols>
  <sheetData>
    <row r="1" spans="1:43" ht="24" x14ac:dyDescent="0.5">
      <c r="A1" s="70" t="s">
        <v>105</v>
      </c>
      <c r="B1" s="70"/>
      <c r="C1" s="70"/>
      <c r="D1" s="70"/>
      <c r="E1" s="70"/>
      <c r="F1" s="70"/>
      <c r="G1" s="70"/>
      <c r="H1" s="70"/>
      <c r="I1" s="70"/>
      <c r="J1" s="70"/>
    </row>
    <row r="2" spans="1:43" x14ac:dyDescent="0.4">
      <c r="A2" s="11" t="s">
        <v>106</v>
      </c>
      <c r="B2" s="11"/>
      <c r="C2" s="11" t="s">
        <v>107</v>
      </c>
      <c r="AN2" s="10"/>
    </row>
    <row r="3" spans="1:43" ht="60" customHeight="1" x14ac:dyDescent="0.4">
      <c r="A3" s="23" t="s">
        <v>108</v>
      </c>
      <c r="B3" s="23" t="s">
        <v>219</v>
      </c>
      <c r="C3" s="23" t="s">
        <v>109</v>
      </c>
      <c r="D3" s="23" t="s">
        <v>110</v>
      </c>
      <c r="E3" s="23" t="s">
        <v>111</v>
      </c>
      <c r="F3" s="23" t="s">
        <v>9</v>
      </c>
      <c r="G3" s="23" t="s">
        <v>23</v>
      </c>
      <c r="H3" s="23" t="s">
        <v>112</v>
      </c>
      <c r="I3" s="23" t="s">
        <v>113</v>
      </c>
      <c r="J3" s="23" t="s">
        <v>114</v>
      </c>
      <c r="K3" s="23" t="s">
        <v>220</v>
      </c>
      <c r="L3" s="24" t="s">
        <v>227</v>
      </c>
      <c r="M3" s="24" t="s">
        <v>221</v>
      </c>
      <c r="N3" s="24" t="s">
        <v>115</v>
      </c>
      <c r="O3" s="24" t="s">
        <v>116</v>
      </c>
      <c r="P3" s="24" t="s">
        <v>117</v>
      </c>
      <c r="Q3" s="24" t="s">
        <v>118</v>
      </c>
      <c r="R3" s="24" t="s">
        <v>224</v>
      </c>
      <c r="S3" s="24" t="s">
        <v>119</v>
      </c>
      <c r="T3" s="24" t="s">
        <v>120</v>
      </c>
      <c r="U3" s="24" t="s">
        <v>121</v>
      </c>
      <c r="V3" s="24" t="s">
        <v>228</v>
      </c>
      <c r="W3" s="24" t="s">
        <v>122</v>
      </c>
      <c r="X3" s="24" t="s">
        <v>123</v>
      </c>
      <c r="Y3" s="24" t="s">
        <v>229</v>
      </c>
      <c r="Z3" s="24" t="s">
        <v>124</v>
      </c>
      <c r="AA3" s="24" t="s">
        <v>125</v>
      </c>
      <c r="AB3" s="24" t="s">
        <v>126</v>
      </c>
      <c r="AC3" s="24" t="s">
        <v>127</v>
      </c>
      <c r="AD3" s="24" t="s">
        <v>128</v>
      </c>
      <c r="AE3" s="24" t="s">
        <v>129</v>
      </c>
      <c r="AF3" s="24" t="s">
        <v>130</v>
      </c>
      <c r="AG3" s="24" t="s">
        <v>131</v>
      </c>
      <c r="AH3" s="24" t="s">
        <v>218</v>
      </c>
      <c r="AI3" s="24" t="s">
        <v>141</v>
      </c>
      <c r="AJ3" s="24" t="s">
        <v>143</v>
      </c>
      <c r="AK3" s="24" t="s">
        <v>132</v>
      </c>
      <c r="AL3" s="24" t="s">
        <v>158</v>
      </c>
      <c r="AM3" s="24" t="s">
        <v>133</v>
      </c>
      <c r="AN3" s="24" t="s">
        <v>134</v>
      </c>
      <c r="AO3" s="24" t="s">
        <v>127</v>
      </c>
      <c r="AP3" s="24" t="s">
        <v>135</v>
      </c>
      <c r="AQ3" s="24" t="s">
        <v>223</v>
      </c>
    </row>
    <row r="4" spans="1:43" ht="18.75" customHeight="1" x14ac:dyDescent="0.4">
      <c r="A4" s="25">
        <v>1</v>
      </c>
      <c r="B4" s="5">
        <v>47664</v>
      </c>
      <c r="C4" s="5">
        <v>47664</v>
      </c>
      <c r="D4" s="26">
        <f>入力!$B$8</f>
        <v>49459</v>
      </c>
      <c r="E4" s="27">
        <f>入力!$B$13</f>
        <v>10000000</v>
      </c>
      <c r="F4" s="27">
        <f>入力!$B$9</f>
        <v>1000000</v>
      </c>
      <c r="G4" s="28" t="str">
        <f t="shared" ref="G4:G13" si="0">IF(OR(C4="",D4=""),"",IF(YEAR(C4)=YEAR(D4),"同年受取",IF(C4&lt;D4,"DC → 会社退職金","会社退職金 → DC")))</f>
        <v>DC → 会社退職金</v>
      </c>
      <c r="H4" s="28">
        <f t="shared" ref="H4:H13" si="1">IF(OR(G4="同年受取",G4=""),"",IF(G4="DC → 会社退職金",9,19))</f>
        <v>9</v>
      </c>
      <c r="I4" s="28" t="str">
        <f t="shared" ref="I4:I13" si="2">IF(G4="同年受取","同年合算",IF(G4="","",IF(AND(MIN(C4,D4)&lt;DATE(YEAR(MAX(C4,D4)),1,1),MIN(C4,D4)&gt;=DATE(YEAR(MAX(C4,D4))-H4,1,1)),"対象","対象外")))</f>
        <v>対象</v>
      </c>
      <c r="J4" s="27">
        <f t="shared" ref="J4:J13" si="3">IF(G4="同年受取","",IF(G4="DC → 会社退職金",E4,IF(G4="会社退職金 → DC",F4,"")))</f>
        <v>10000000</v>
      </c>
      <c r="K4" s="27">
        <f>IF(G4="同年受取","",
 IF(G4="DC → 会社退職金",
   _xlfn.LET(
     _xlpm.DC開始,入力!$B$10,
     _xlpm.DC終了,B4,
     _xlpm.年数,IF(DATEDIF(_xlpm.DC開始,_xlpm.DC終了+1,"M")=0,1,CEILING(DATEDIF(_xlpm.DC開始,_xlpm.DC終了+1,"M")/12,1)),
     IF(_xlpm.年数&lt;=20,MAX(400000*_xlpm.年数,800000),8000000+700000*(_xlpm.年数-20))
   ),
 IF(G4="会社退職金 → DC",
   _xlfn.LET(
     _xlpm.会社控除額,入力!$B$20,
     _xlpm.会社控除額
   ),
 "")))</f>
        <v>3600000</v>
      </c>
      <c r="L4" s="29" t="str">
        <f t="shared" ref="L4:L13" si="4">IF(OR(J4="",K4=""),"",IF(J4&lt;K4,"該当","非該当"))</f>
        <v>非該当</v>
      </c>
      <c r="M4" s="30">
        <f>_xlfn.LET(
 _xlpm.前退,J4,
 _xlpm.前控,K4,
 _xlpm.会勤年,入力!$B$19,
 IF(G4="同年受取","",
   IF(OR(_xlpm.前退="",_xlpm.前控=""),"",
     IF(_xlpm.前退&lt;_xlpm.前控,
       ROUNDDOWN(IF(_xlpm.前退&lt;=8000000,_xlpm.前退/400000,(_xlpm.前退-8000000)/700000+20),0),
       IF(G4="DC → 会社退職金",
         _xlfn.LET(
           _xlpm.DC開始,入力!$B$10,
           _xlpm.DC終了,B4,
           DATEDIF(_xlpm.DC開始,_xlpm.DC終了+1,"Y")
           +IF(DATEDIF(_xlpm.DC開始,_xlpm.DC終了+1,"YD")&gt;0,1,0)
         ),
         IF(G4="会社退職金 → DC",
           _xlpm.会勤年,
           ""
         )
       )
     )
   )
 )
)</f>
        <v>9</v>
      </c>
      <c r="N4" s="31">
        <f>IF(G4="同年受取","",IF(I4&lt;&gt;"対象","",MAX(IF(G4="DC → 会社退職金",入力!$B$10,入力!$B$6),IF(G4="DC → 会社退職金",入力!$B$6,入力!$B$10))))</f>
        <v>44652</v>
      </c>
      <c r="O4" s="31">
        <f>_xlfn.LET(
  _xlpm.受取順,G4,
  _xlpm.対象,I4,
  _xlpm.前退,J4,
  _xlpm.前控,K4,
  _xlpm.前換算年,M4,
  _xlpm.会社開始,入力!$B$6,
  _xlpm.会社終了,入力!$B$7,
  _xlpm.DC開始,入力!$B$10,
  _xlpm.DC終了,B4,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47664</v>
      </c>
      <c r="P4" s="30">
        <f t="shared" ref="P4:P13" si="5">_xlfn.LET(
  _xlpm.重複開始,N4,
  _xlpm.重複終了,O4,
  IF(
    G4="同年受取",
    "",
    IF(
      OR(_xlpm.重複開始="",_xlpm.重複終了="",_xlpm.重複開始&gt;_xlpm.重複終了),
      0,
      DATEDIF(_xlpm.重複開始,_xlpm.重複終了+1,"Y")
    )
  )
)</f>
        <v>8</v>
      </c>
      <c r="Q4" s="29">
        <f>IF(G4="同年受取","",
_xlfn.LET(
_xlpm.受取順,G4,
_xlpm.実重複年,P4,
_xlpm.会社本来控除,入力!$B$20,
_xlpm.重複控除,IF(
_xlpm.実重複年&lt;=20,
MAX(800000,400000*_xlpm.実重複年),
8000000+700000*(_xlpm.実重複年-20)
),
IF(
_xlpm.受取順="DC → 会社退職金",
IF(
I4="対象",
MAX(0,_xlpm.会社本来控除-_xlpm.重複控除),
_xlpm.会社本来控除
),
_xlpm.会社本来控除
)
))</f>
        <v>23700000</v>
      </c>
      <c r="R4" s="29">
        <f>IF(G4="同年受取","",
 _xlfn.LET(
  _xlpm.受取順,G4,
  _xlpm.DC開始,入力!$B$10,
  _xlpm.DC終了,B4,
  _xlpm.実重複年,P4,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I4="対象",
    MAX(0,_xlpm.DC本来控除-_xlpm.重複控除),
    _xlpm.DC本来控除
   ),
   _xlpm.DC本来控除
  )
 )
)</f>
        <v>3600000</v>
      </c>
      <c r="S4" s="29">
        <f t="shared" ref="S4:S13" si="6">IF(G4="同年受取","",IF(OR(G4="",G4="同日受取：要確認"),"",ROUNDDOWN(MAX(0,(F4-Q4)/2),-3)))</f>
        <v>0</v>
      </c>
      <c r="T4" s="29">
        <f t="shared" ref="T4:T13" si="7">IF(G4="同年受取","",IF(OR(G4="",G4="同日受取：要確認"),"",ROUNDDOWN(MAX(0,(E4-R4)/2),-3)))</f>
        <v>3200000</v>
      </c>
      <c r="U4" s="32">
        <f>IF(OR(G4="同年受取",S4=""),"",VLOOKUP(S4,税率表!$A$2:$C$8,2,TRUE))</f>
        <v>0.05</v>
      </c>
      <c r="V4" s="29">
        <f>IF(U4="","",VLOOKUP(S4,税率表!$A$2:$C$8,3,TRUE))</f>
        <v>0</v>
      </c>
      <c r="W4" s="29">
        <f t="shared" ref="W4:W13" si="8">IF(U4="","",ROUNDDOWN(MAX(0,S4*U4-V4)*1.021,0))</f>
        <v>0</v>
      </c>
      <c r="X4" s="32">
        <f>IF(OR(G4="同年受取",T4=""),"",VLOOKUP(T4,税率表!$A$2:$C$8,2,TRUE))</f>
        <v>0.1</v>
      </c>
      <c r="Y4" s="29">
        <f>IF(X4="","",VLOOKUP(T4,税率表!$A$2:$C$8,3,TRUE))</f>
        <v>97500</v>
      </c>
      <c r="Z4" s="29">
        <f t="shared" ref="Z4:Z13" si="9">IF(X4="","",ROUNDDOWN(MAX(0,T4*X4-Y4)*1.021,0))</f>
        <v>227172</v>
      </c>
      <c r="AA4" s="29">
        <f t="shared" ref="AA4:AA13" si="10">IF(G4="同年受取","",IF(S4="","",ROUNDDOWN(S4*10%,0)))</f>
        <v>0</v>
      </c>
      <c r="AB4" s="29">
        <f t="shared" ref="AB4:AB13" si="11">IF(G4="同年受取","",IF(T4="","",ROUNDDOWN(T4*10%,0)))</f>
        <v>320000</v>
      </c>
      <c r="AC4" s="29">
        <f t="shared" ref="AC4:AC13" si="12">IF(G4="同年受取","",IF(OR(W4="",Z4=""),"",SUM(W4,Z4,AA4,AB4)))</f>
        <v>547172</v>
      </c>
      <c r="AD4" s="29">
        <f t="shared" ref="AD4:AD13" si="13">IF(G4="同年受取","",IF(AC4="","",E4+F4-AC4))</f>
        <v>10452828</v>
      </c>
      <c r="AE4" s="33" t="str">
        <f t="shared" ref="AE4:AE13" si="14">IF(G4="同年受取","No.2735：同年の退職手当等を合算し、2制度の勤続期間を統合して退職所得控除額を計算",IF(I4="対象","No.2732：確認期間→前の金額/控除→換算年数→重複年度→後の控除調整→課税退職所得→税額",IF(G4="","",IF(I4="対象外","No.2732：確認期間外→重複調整なし→通常控除→課税退職所得→税額",""))))</f>
        <v>No.2732：確認期間→前の金額/控除→換算年数→重複年度→後の控除調整→課税退職所得→税額</v>
      </c>
      <c r="AF4" s="33">
        <f t="shared" ref="AF4:AF13" si="15">IF(OR(J4="",K4="",G4="同年受取"),"",ROUNDDOWN(IF(J4&lt;=8000000,J4/400000,(J4-8000000)/700000+20),0))</f>
        <v>22</v>
      </c>
      <c r="AG4" s="33">
        <f>IF(OR(J4="",K4="",G4="同年受取"),"",IF(J4&lt;K4,AF4,IF(G4="DC → 会社退職金",入力!$B$21,入力!$B$19)))</f>
        <v>15</v>
      </c>
      <c r="AH4" s="34" t="str">
        <f>IF(G4&lt;&gt;"同年受取","",_xlfn.LET(
_xlpm.A開始,入力!$B$6,
_xlpm.A終了,入力!$B$7,
_xlpm.B開始,入力!$B$10,
_xlpm.B終了,B4,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4" s="35" t="str">
        <f t="shared" ref="AI4:AI13" si="16">IF(G4&lt;&gt;"同年受取","",IF(AH4&lt;=20,MAX(400000*AH4,800000),8000000+700000*(AH4-20)))</f>
        <v/>
      </c>
      <c r="AJ4" s="35" t="str">
        <f t="shared" ref="AJ4:AJ13" si="17">IF(G4&lt;&gt;"同年受取","",MAX(0,FLOOR((E4+F4-AI4)/2,1000)))</f>
        <v/>
      </c>
      <c r="AK4" s="36" t="str">
        <f t="shared" ref="AK4:AK13" si="18">IF(G4&lt;&gt;"同年受取","",VLOOKUP(AJ4,tabletax,3,TRUE))</f>
        <v/>
      </c>
      <c r="AL4" s="35" t="str">
        <f t="shared" ref="AL4:AL13" si="19">IF(G4&lt;&gt;"同年受取","",VLOOKUP(AJ4,tabletax,4,TRUE))</f>
        <v/>
      </c>
      <c r="AM4" s="35" t="str">
        <f t="shared" ref="AM4:AM13" si="20">IF(G4&lt;&gt;"同年受取","",FLOOR((AJ4*AK4-AL4)*1.021,1))</f>
        <v/>
      </c>
      <c r="AN4" s="35" t="str">
        <f t="shared" ref="AN4:AN13" si="21">IF(G4&lt;&gt;"同年受取","",FLOOR(AJ4*0.1,100))</f>
        <v/>
      </c>
      <c r="AO4" s="35" t="str">
        <f t="shared" ref="AO4:AO13" si="22">IF(G4&lt;&gt;"同年受取","",AM4+AN4)</f>
        <v/>
      </c>
      <c r="AP4" s="35" t="str">
        <f t="shared" ref="AP4:AP13" si="23">IF(G4&lt;&gt;"同年受取","",IF(AM4="","",E4+F4-AO4))</f>
        <v/>
      </c>
      <c r="AQ4" s="35">
        <f t="shared" ref="AQ4:AQ13" si="24">IF(AD4&lt;&gt;"",AD4,IF(AP4&lt;&gt;"",AP4))</f>
        <v>10452828</v>
      </c>
    </row>
    <row r="5" spans="1:43" ht="18.75" customHeight="1" x14ac:dyDescent="0.4">
      <c r="A5" s="25">
        <v>2</v>
      </c>
      <c r="B5" s="5">
        <v>48029</v>
      </c>
      <c r="C5" s="5">
        <v>48029</v>
      </c>
      <c r="D5" s="26">
        <f>入力!$B$8</f>
        <v>49459</v>
      </c>
      <c r="E5" s="27">
        <f>入力!$B$13</f>
        <v>10000000</v>
      </c>
      <c r="F5" s="27">
        <f>入力!$B$9</f>
        <v>1000000</v>
      </c>
      <c r="G5" s="28" t="str">
        <f t="shared" si="0"/>
        <v>DC → 会社退職金</v>
      </c>
      <c r="H5" s="28">
        <f t="shared" si="1"/>
        <v>9</v>
      </c>
      <c r="I5" s="28" t="str">
        <f t="shared" si="2"/>
        <v>対象</v>
      </c>
      <c r="J5" s="27">
        <f t="shared" si="3"/>
        <v>10000000</v>
      </c>
      <c r="K5" s="27">
        <f>IF(G5="同年受取","",
 IF(G5="DC → 会社退職金",
   _xlfn.LET(
     _xlpm.DC開始,入力!$B$10,
     _xlpm.DC終了,B5,
     _xlpm.年数,IF(DATEDIF(_xlpm.DC開始,_xlpm.DC終了+1,"M")=0,1,CEILING(DATEDIF(_xlpm.DC開始,_xlpm.DC終了+1,"M")/12,1)),
     IF(_xlpm.年数&lt;=20,MAX(400000*_xlpm.年数,800000),8000000+700000*(_xlpm.年数-20))
   ),
 IF(G5="会社退職金 → DC",
   _xlfn.LET(
     _xlpm.会社控除額,入力!$B$20,
     _xlpm.会社控除額
   ),
 "")))</f>
        <v>4000000</v>
      </c>
      <c r="L5" s="29" t="str">
        <f t="shared" si="4"/>
        <v>非該当</v>
      </c>
      <c r="M5" s="30">
        <f>_xlfn.LET(
 _xlpm.前判定,L5,
 _xlpm.前退,J5,
 _xlpm.前控,K5,
 _xlpm.会勤年,入力!$B$19,
 IF(G5="同年受取","",
   IF(OR(_xlpm.前退="",_xlpm.前控=""),"",
     IF(_xlpm.前判定="該当",
       ROUNDDOWN(IF(_xlpm.前退&lt;=8000000,_xlpm.前退/400000,(_xlpm.前退-8000000)/700000+20),0),
       IF(G5="DC → 会社退職金",
         _xlfn.LET(
           _xlpm.DC開始,入力!$B$10,
           _xlpm.DC終了,B5,
           DATEDIF(_xlpm.DC開始,_xlpm.DC終了+1,"Y")
           +IF(DATEDIF(_xlpm.DC開始,_xlpm.DC終了+1,"YD")&gt;0,1,0)
         ),
         IF(G5="会社退職金 → DC",
           _xlpm.会勤年,
           ""
         )
       )
     )
   )
 )
)</f>
        <v>10</v>
      </c>
      <c r="N5" s="31">
        <f>IF(G5="同年受取","",IF(I5&lt;&gt;"対象","",MAX(IF(G5="DC → 会社退職金",入力!$B$10,入力!$B$6),IF(G5="DC → 会社退職金",入力!$B$6,入力!$B$10))))</f>
        <v>44652</v>
      </c>
      <c r="O5" s="31">
        <f>_xlfn.LET(
  _xlpm.受取順,G5,
  _xlpm.対象,I5,
  _xlpm.前退,J5,
  _xlpm.前控,K5,
  _xlpm.前換算年,M5,
  _xlpm.会社開始,入力!$B$6,
  _xlpm.会社終了,入力!$B$7,
  _xlpm.DC開始,入力!$B$10,
  _xlpm.DC終了,B5,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48029</v>
      </c>
      <c r="P5" s="30">
        <f t="shared" si="5"/>
        <v>9</v>
      </c>
      <c r="Q5" s="29">
        <f>IF(G5="同年受取","",
_xlfn.LET(
_xlpm.受取順,G5,
_xlpm.実重複年,P5,
_xlpm.会社本来控除,入力!$B$20,
_xlpm.重複控除,IF(
_xlpm.実重複年&lt;=20,
MAX(800000,400000*_xlpm.実重複年),
8000000+700000*(_xlpm.実重複年-20)
),
IF(
_xlpm.受取順="DC → 会社退職金",
IF(
I5="対象",
MAX(0,_xlpm.会社本来控除-_xlpm.重複控除),
_xlpm.会社本来控除
),
_xlpm.会社本来控除
)
))</f>
        <v>23300000</v>
      </c>
      <c r="R5" s="29">
        <f>IF(G5="同年受取","",
 _xlfn.LET(
  _xlpm.受取順,G5,
  _xlpm.DC開始,入力!$B$10,
  _xlpm.DC終了,B5,
  _xlpm.実重複年,P5,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I5="対象",
    MAX(0,_xlpm.DC本来控除-_xlpm.重複控除),
    _xlpm.DC本来控除
   ),
   _xlpm.DC本来控除
  )
 )
)</f>
        <v>4000000</v>
      </c>
      <c r="S5" s="29">
        <f t="shared" si="6"/>
        <v>0</v>
      </c>
      <c r="T5" s="29">
        <f t="shared" si="7"/>
        <v>3000000</v>
      </c>
      <c r="U5" s="32">
        <f>IF(OR(G5="同年受取",S5=""),"",VLOOKUP(S5,税率表!$A$2:$C$8,2,TRUE))</f>
        <v>0.05</v>
      </c>
      <c r="V5" s="29">
        <f>IF(U5="","",VLOOKUP(S5,税率表!$A$2:$C$8,3,TRUE))</f>
        <v>0</v>
      </c>
      <c r="W5" s="29">
        <f t="shared" si="8"/>
        <v>0</v>
      </c>
      <c r="X5" s="32">
        <f>IF(OR(G5="同年受取",T5=""),"",VLOOKUP(T5,税率表!$A$2:$C$8,2,TRUE))</f>
        <v>0.1</v>
      </c>
      <c r="Y5" s="29">
        <f>IF(X5="","",VLOOKUP(T5,税率表!$A$2:$C$8,3,TRUE))</f>
        <v>97500</v>
      </c>
      <c r="Z5" s="29">
        <f t="shared" si="9"/>
        <v>206752</v>
      </c>
      <c r="AA5" s="29">
        <f t="shared" si="10"/>
        <v>0</v>
      </c>
      <c r="AB5" s="29">
        <f t="shared" si="11"/>
        <v>300000</v>
      </c>
      <c r="AC5" s="29">
        <f t="shared" si="12"/>
        <v>506752</v>
      </c>
      <c r="AD5" s="29">
        <f t="shared" si="13"/>
        <v>10493248</v>
      </c>
      <c r="AE5" s="33" t="str">
        <f t="shared" si="14"/>
        <v>No.2732：確認期間→前の金額/控除→換算年数→重複年度→後の控除調整→課税退職所得→税額</v>
      </c>
      <c r="AF5" s="33">
        <f t="shared" si="15"/>
        <v>22</v>
      </c>
      <c r="AG5" s="33">
        <f>IF(OR(J5="",K5="",G5="同年受取"),"",IF(J5&lt;K5,AF5,IF(G5="DC → 会社退職金",入力!$B$21,入力!$B$19)))</f>
        <v>15</v>
      </c>
      <c r="AH5" s="34" t="str">
        <f>IF(G5&lt;&gt;"同年受取","",_xlfn.LET(
_xlpm.A開始,入力!$B$6,
_xlpm.A終了,入力!$B$7,
_xlpm.B開始,入力!$B$10,
_xlpm.B終了,B5,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5" s="35" t="str">
        <f t="shared" si="16"/>
        <v/>
      </c>
      <c r="AJ5" s="35" t="str">
        <f t="shared" si="17"/>
        <v/>
      </c>
      <c r="AK5" s="36" t="str">
        <f t="shared" si="18"/>
        <v/>
      </c>
      <c r="AL5" s="35" t="str">
        <f t="shared" si="19"/>
        <v/>
      </c>
      <c r="AM5" s="35" t="str">
        <f t="shared" si="20"/>
        <v/>
      </c>
      <c r="AN5" s="35" t="str">
        <f t="shared" si="21"/>
        <v/>
      </c>
      <c r="AO5" s="35" t="str">
        <f t="shared" si="22"/>
        <v/>
      </c>
      <c r="AP5" s="35" t="str">
        <f t="shared" si="23"/>
        <v/>
      </c>
      <c r="AQ5" s="35">
        <f t="shared" si="24"/>
        <v>10493248</v>
      </c>
    </row>
    <row r="6" spans="1:43" ht="18.75" customHeight="1" x14ac:dyDescent="0.4">
      <c r="A6" s="25">
        <v>3</v>
      </c>
      <c r="B6" s="5">
        <v>48395</v>
      </c>
      <c r="C6" s="5">
        <v>48395</v>
      </c>
      <c r="D6" s="26">
        <f>入力!$B$8</f>
        <v>49459</v>
      </c>
      <c r="E6" s="27">
        <f>入力!$B$13</f>
        <v>10000000</v>
      </c>
      <c r="F6" s="27">
        <f>入力!$B$9</f>
        <v>1000000</v>
      </c>
      <c r="G6" s="28" t="str">
        <f t="shared" si="0"/>
        <v>DC → 会社退職金</v>
      </c>
      <c r="H6" s="28">
        <f t="shared" si="1"/>
        <v>9</v>
      </c>
      <c r="I6" s="28" t="str">
        <f t="shared" si="2"/>
        <v>対象</v>
      </c>
      <c r="J6" s="27">
        <f t="shared" si="3"/>
        <v>10000000</v>
      </c>
      <c r="K6" s="27">
        <f>IF(G6="同年受取","",
 IF(G6="DC → 会社退職金",
   _xlfn.LET(
     _xlpm.DC開始,入力!$B$10,
     _xlpm.DC終了,B6,
     _xlpm.年数,IF(DATEDIF(_xlpm.DC開始,_xlpm.DC終了+1,"M")=0,1,CEILING(DATEDIF(_xlpm.DC開始,_xlpm.DC終了+1,"M")/12,1)),
     IF(_xlpm.年数&lt;=20,MAX(400000*_xlpm.年数,800000),8000000+700000*(_xlpm.年数-20))
   ),
 IF(G6="会社退職金 → DC",
   _xlfn.LET(
     _xlpm.会社控除額,入力!$B$20,
     _xlpm.会社控除額
   ),
 "")))</f>
        <v>4400000</v>
      </c>
      <c r="L6" s="29" t="str">
        <f t="shared" si="4"/>
        <v>非該当</v>
      </c>
      <c r="M6" s="30">
        <f>_xlfn.LET(
 _xlpm.前判定,L6,
 _xlpm.前退,J6,
 _xlpm.前控,K6,
 _xlpm.会勤年,入力!$B$19,
 IF(G6="同年受取","",
   IF(OR(_xlpm.前退="",_xlpm.前控=""),"",
     IF(_xlpm.前判定="該当",
       ROUNDDOWN(IF(_xlpm.前退&lt;=8000000,_xlpm.前退/400000,(_xlpm.前退-8000000)/700000+20),0),
       IF(G6="DC → 会社退職金",
         _xlfn.LET(
           _xlpm.DC開始,入力!$B$10,
           _xlpm.DC終了,B6,
           DATEDIF(_xlpm.DC開始,_xlpm.DC終了+1,"Y")
           +IF(DATEDIF(_xlpm.DC開始,_xlpm.DC終了+1,"YD")&gt;0,1,0)
         ),
         IF(G6="会社退職金 → DC",
           _xlpm.会勤年,
           ""
         )
       )
     )
   )
 )
)</f>
        <v>11</v>
      </c>
      <c r="N6" s="31">
        <f>IF(G6="同年受取","",IF(I6&lt;&gt;"対象","",MAX(IF(G6="DC → 会社退職金",入力!$B$10,入力!$B$6),IF(G6="DC → 会社退職金",入力!$B$6,入力!$B$10))))</f>
        <v>44652</v>
      </c>
      <c r="O6" s="31">
        <f>_xlfn.LET(
  _xlpm.受取順,G6,
  _xlpm.対象,I6,
  _xlpm.前退,J6,
  _xlpm.前控,K6,
  _xlpm.前換算年,M6,
  _xlpm.会社開始,入力!$B$6,
  _xlpm.会社終了,入力!$B$7,
  _xlpm.DC開始,入力!$B$10,
  _xlpm.DC終了,B6,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48395</v>
      </c>
      <c r="P6" s="30">
        <f t="shared" si="5"/>
        <v>10</v>
      </c>
      <c r="Q6" s="29">
        <f>IF(G6="同年受取","",
_xlfn.LET(
_xlpm.受取順,G6,
_xlpm.実重複年,P6,
_xlpm.会社本来控除,入力!$B$20,
_xlpm.重複控除,IF(
_xlpm.実重複年&lt;=20,
MAX(800000,400000*_xlpm.実重複年),
8000000+700000*(_xlpm.実重複年-20)
),
IF(
_xlpm.受取順="DC → 会社退職金",
IF(
I6="対象",
MAX(0,_xlpm.会社本来控除-_xlpm.重複控除),
_xlpm.会社本来控除
),
_xlpm.会社本来控除
)
))</f>
        <v>22900000</v>
      </c>
      <c r="R6" s="29">
        <f>IF(G6="同年受取","",
 _xlfn.LET(
  _xlpm.受取順,G6,
  _xlpm.DC開始,入力!$B$10,
  _xlpm.DC終了,B6,
  _xlpm.実重複年,P6,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I6="対象",
    MAX(0,_xlpm.DC本来控除-_xlpm.重複控除),
    _xlpm.DC本来控除
   ),
   _xlpm.DC本来控除
  )
 )
)</f>
        <v>4400000</v>
      </c>
      <c r="S6" s="29">
        <f t="shared" si="6"/>
        <v>0</v>
      </c>
      <c r="T6" s="29">
        <f t="shared" si="7"/>
        <v>2800000</v>
      </c>
      <c r="U6" s="32">
        <f>IF(OR(G6="同年受取",S6=""),"",VLOOKUP(S6,税率表!$A$2:$C$8,2,TRUE))</f>
        <v>0.05</v>
      </c>
      <c r="V6" s="29">
        <f>IF(U6="","",VLOOKUP(S6,税率表!$A$2:$C$8,3,TRUE))</f>
        <v>0</v>
      </c>
      <c r="W6" s="29">
        <f t="shared" si="8"/>
        <v>0</v>
      </c>
      <c r="X6" s="32">
        <f>IF(OR(G6="同年受取",T6=""),"",VLOOKUP(T6,税率表!$A$2:$C$8,2,TRUE))</f>
        <v>0.1</v>
      </c>
      <c r="Y6" s="29">
        <f>IF(X6="","",VLOOKUP(T6,税率表!$A$2:$C$8,3,TRUE))</f>
        <v>97500</v>
      </c>
      <c r="Z6" s="29">
        <f t="shared" si="9"/>
        <v>186332</v>
      </c>
      <c r="AA6" s="29">
        <f t="shared" si="10"/>
        <v>0</v>
      </c>
      <c r="AB6" s="29">
        <f t="shared" si="11"/>
        <v>280000</v>
      </c>
      <c r="AC6" s="29">
        <f t="shared" si="12"/>
        <v>466332</v>
      </c>
      <c r="AD6" s="29">
        <f t="shared" si="13"/>
        <v>10533668</v>
      </c>
      <c r="AE6" s="33" t="str">
        <f t="shared" si="14"/>
        <v>No.2732：確認期間→前の金額/控除→換算年数→重複年度→後の控除調整→課税退職所得→税額</v>
      </c>
      <c r="AF6" s="33">
        <f t="shared" si="15"/>
        <v>22</v>
      </c>
      <c r="AG6" s="33">
        <f>IF(OR(J6="",K6="",G6="同年受取"),"",IF(J6&lt;K6,AF6,IF(G6="DC → 会社退職金",入力!$B$21,入力!$B$19)))</f>
        <v>15</v>
      </c>
      <c r="AH6" s="34" t="str">
        <f>IF(G6&lt;&gt;"同年受取","",_xlfn.LET(
_xlpm.A開始,入力!$B$6,
_xlpm.A終了,入力!$B$7,
_xlpm.B開始,入力!$B$10,
_xlpm.B終了,B6,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6" s="35" t="str">
        <f t="shared" si="16"/>
        <v/>
      </c>
      <c r="AJ6" s="35" t="str">
        <f t="shared" si="17"/>
        <v/>
      </c>
      <c r="AK6" s="36" t="str">
        <f t="shared" si="18"/>
        <v/>
      </c>
      <c r="AL6" s="35" t="str">
        <f t="shared" si="19"/>
        <v/>
      </c>
      <c r="AM6" s="35" t="str">
        <f t="shared" si="20"/>
        <v/>
      </c>
      <c r="AN6" s="35" t="str">
        <f t="shared" si="21"/>
        <v/>
      </c>
      <c r="AO6" s="35" t="str">
        <f t="shared" si="22"/>
        <v/>
      </c>
      <c r="AP6" s="35" t="str">
        <f t="shared" si="23"/>
        <v/>
      </c>
      <c r="AQ6" s="35">
        <f t="shared" si="24"/>
        <v>10533668</v>
      </c>
    </row>
    <row r="7" spans="1:43" ht="18.75" customHeight="1" x14ac:dyDescent="0.4">
      <c r="A7" s="25">
        <v>4</v>
      </c>
      <c r="B7" s="5">
        <v>48760</v>
      </c>
      <c r="C7" s="5">
        <v>48760</v>
      </c>
      <c r="D7" s="26">
        <f>入力!$B$8</f>
        <v>49459</v>
      </c>
      <c r="E7" s="27">
        <f>入力!$B$13</f>
        <v>10000000</v>
      </c>
      <c r="F7" s="27">
        <f>入力!$B$9</f>
        <v>1000000</v>
      </c>
      <c r="G7" s="28" t="str">
        <f t="shared" si="0"/>
        <v>DC → 会社退職金</v>
      </c>
      <c r="H7" s="28">
        <f t="shared" si="1"/>
        <v>9</v>
      </c>
      <c r="I7" s="28" t="str">
        <f t="shared" si="2"/>
        <v>対象</v>
      </c>
      <c r="J7" s="27">
        <f t="shared" si="3"/>
        <v>10000000</v>
      </c>
      <c r="K7" s="27">
        <f>IF(G7="同年受取","",
 IF(G7="DC → 会社退職金",
   _xlfn.LET(
     _xlpm.DC開始,入力!$B$10,
     _xlpm.DC終了,B7,
     _xlpm.年数,IF(DATEDIF(_xlpm.DC開始,_xlpm.DC終了+1,"M")=0,1,CEILING(DATEDIF(_xlpm.DC開始,_xlpm.DC終了+1,"M")/12,1)),
     IF(_xlpm.年数&lt;=20,MAX(400000*_xlpm.年数,800000),8000000+700000*(_xlpm.年数-20))
   ),
 IF(G7="会社退職金 → DC",
   _xlfn.LET(
     _xlpm.会社控除額,入力!$B$20,
     _xlpm.会社控除額
   ),
 "")))</f>
        <v>4800000</v>
      </c>
      <c r="L7" s="29" t="str">
        <f t="shared" si="4"/>
        <v>非該当</v>
      </c>
      <c r="M7" s="30">
        <f>_xlfn.LET(
 _xlpm.前判定,L7,
 _xlpm.前退,J7,
 _xlpm.前控,K7,
 _xlpm.会勤年,入力!$B$19,
 IF(G7="同年受取","",
   IF(OR(_xlpm.前退="",_xlpm.前控=""),"",
     IF(_xlpm.前判定="該当",
       ROUNDDOWN(IF(_xlpm.前退&lt;=8000000,_xlpm.前退/400000,(_xlpm.前退-8000000)/700000+20),0),
       IF(G7="DC → 会社退職金",
         _xlfn.LET(
           _xlpm.DC開始,入力!$B$10,
           _xlpm.DC終了,B7,
           DATEDIF(_xlpm.DC開始,_xlpm.DC終了+1,"Y")
           +IF(DATEDIF(_xlpm.DC開始,_xlpm.DC終了+1,"YD")&gt;0,1,0)
         ),
         IF(G7="会社退職金 → DC",
           _xlpm.会勤年,
           ""
         )
       )
     )
   )
 )
)</f>
        <v>12</v>
      </c>
      <c r="N7" s="31">
        <f>IF(G7="同年受取","",IF(I7&lt;&gt;"対象","",MAX(IF(G7="DC → 会社退職金",入力!$B$10,入力!$B$6),IF(G7="DC → 会社退職金",入力!$B$6,入力!$B$10))))</f>
        <v>44652</v>
      </c>
      <c r="O7" s="31">
        <f>_xlfn.LET(
  _xlpm.受取順,G7,
  _xlpm.対象,I7,
  _xlpm.前退,J7,
  _xlpm.前控,K7,
  _xlpm.前換算年,M7,
  _xlpm.会社開始,入力!$B$6,
  _xlpm.会社終了,入力!$B$7,
  _xlpm.DC開始,入力!$B$10,
  _xlpm.DC終了,B7,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48760</v>
      </c>
      <c r="P7" s="30">
        <f t="shared" si="5"/>
        <v>11</v>
      </c>
      <c r="Q7" s="29">
        <f>IF(G7="同年受取","",
_xlfn.LET(
_xlpm.受取順,G7,
_xlpm.実重複年,P7,
_xlpm.会社本来控除,入力!$B$20,
_xlpm.重複控除,IF(
_xlpm.実重複年&lt;=20,
MAX(800000,400000*_xlpm.実重複年),
8000000+700000*(_xlpm.実重複年-20)
),
IF(
_xlpm.受取順="DC → 会社退職金",
IF(
I7="対象",
MAX(0,_xlpm.会社本来控除-_xlpm.重複控除),
_xlpm.会社本来控除
),
_xlpm.会社本来控除
)
))</f>
        <v>22500000</v>
      </c>
      <c r="R7" s="29">
        <f>IF(G7="同年受取","",
 _xlfn.LET(
  _xlpm.受取順,G7,
  _xlpm.DC開始,入力!$B$10,
  _xlpm.DC終了,B7,
  _xlpm.実重複年,P7,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I7="対象",
    MAX(0,_xlpm.DC本来控除-_xlpm.重複控除),
    _xlpm.DC本来控除
   ),
   _xlpm.DC本来控除
  )
 )
)</f>
        <v>4800000</v>
      </c>
      <c r="S7" s="29">
        <f t="shared" si="6"/>
        <v>0</v>
      </c>
      <c r="T7" s="29">
        <f t="shared" si="7"/>
        <v>2600000</v>
      </c>
      <c r="U7" s="32">
        <f>IF(OR(G7="同年受取",S7=""),"",VLOOKUP(S7,税率表!$A$2:$C$8,2,TRUE))</f>
        <v>0.05</v>
      </c>
      <c r="V7" s="29">
        <f>IF(U7="","",VLOOKUP(S7,税率表!$A$2:$C$8,3,TRUE))</f>
        <v>0</v>
      </c>
      <c r="W7" s="29">
        <f t="shared" si="8"/>
        <v>0</v>
      </c>
      <c r="X7" s="32">
        <f>IF(OR(G7="同年受取",T7=""),"",VLOOKUP(T7,税率表!$A$2:$C$8,2,TRUE))</f>
        <v>0.1</v>
      </c>
      <c r="Y7" s="29">
        <f>IF(X7="","",VLOOKUP(T7,税率表!$A$2:$C$8,3,TRUE))</f>
        <v>97500</v>
      </c>
      <c r="Z7" s="29">
        <f t="shared" si="9"/>
        <v>165912</v>
      </c>
      <c r="AA7" s="29">
        <f t="shared" si="10"/>
        <v>0</v>
      </c>
      <c r="AB7" s="29">
        <f t="shared" si="11"/>
        <v>260000</v>
      </c>
      <c r="AC7" s="29">
        <f t="shared" si="12"/>
        <v>425912</v>
      </c>
      <c r="AD7" s="29">
        <f t="shared" si="13"/>
        <v>10574088</v>
      </c>
      <c r="AE7" s="33" t="str">
        <f t="shared" si="14"/>
        <v>No.2732：確認期間→前の金額/控除→換算年数→重複年度→後の控除調整→課税退職所得→税額</v>
      </c>
      <c r="AF7" s="33">
        <f t="shared" si="15"/>
        <v>22</v>
      </c>
      <c r="AG7" s="33">
        <f>IF(OR(J7="",K7="",G7="同年受取"),"",IF(J7&lt;K7,AF7,IF(G7="DC → 会社退職金",入力!$B$21,入力!$B$19)))</f>
        <v>15</v>
      </c>
      <c r="AH7" s="34" t="str">
        <f>IF(G7&lt;&gt;"同年受取","",_xlfn.LET(
_xlpm.A開始,入力!$B$6,
_xlpm.A終了,入力!$B$7,
_xlpm.B開始,入力!$B$10,
_xlpm.B終了,B7,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7" s="35" t="str">
        <f t="shared" si="16"/>
        <v/>
      </c>
      <c r="AJ7" s="35" t="str">
        <f t="shared" si="17"/>
        <v/>
      </c>
      <c r="AK7" s="36" t="str">
        <f t="shared" si="18"/>
        <v/>
      </c>
      <c r="AL7" s="35" t="str">
        <f t="shared" si="19"/>
        <v/>
      </c>
      <c r="AM7" s="35" t="str">
        <f t="shared" si="20"/>
        <v/>
      </c>
      <c r="AN7" s="35" t="str">
        <f t="shared" si="21"/>
        <v/>
      </c>
      <c r="AO7" s="35" t="str">
        <f t="shared" si="22"/>
        <v/>
      </c>
      <c r="AP7" s="35" t="str">
        <f t="shared" si="23"/>
        <v/>
      </c>
      <c r="AQ7" s="35">
        <f t="shared" si="24"/>
        <v>10574088</v>
      </c>
    </row>
    <row r="8" spans="1:43" ht="18.75" customHeight="1" x14ac:dyDescent="0.4">
      <c r="A8" s="25">
        <v>5</v>
      </c>
      <c r="B8" s="5">
        <v>49125</v>
      </c>
      <c r="C8" s="5">
        <v>49125</v>
      </c>
      <c r="D8" s="26">
        <f>入力!$B$8</f>
        <v>49459</v>
      </c>
      <c r="E8" s="27">
        <f>入力!$B$13</f>
        <v>10000000</v>
      </c>
      <c r="F8" s="27">
        <f>入力!$B$9</f>
        <v>1000000</v>
      </c>
      <c r="G8" s="28" t="str">
        <f t="shared" si="0"/>
        <v>DC → 会社退職金</v>
      </c>
      <c r="H8" s="28">
        <f t="shared" si="1"/>
        <v>9</v>
      </c>
      <c r="I8" s="28" t="str">
        <f t="shared" si="2"/>
        <v>対象</v>
      </c>
      <c r="J8" s="27">
        <f t="shared" si="3"/>
        <v>10000000</v>
      </c>
      <c r="K8" s="27">
        <f>IF(G8="同年受取","",
 IF(G8="DC → 会社退職金",
   _xlfn.LET(
     _xlpm.DC開始,入力!$B$10,
     _xlpm.DC終了,B8,
     _xlpm.年数,IF(DATEDIF(_xlpm.DC開始,_xlpm.DC終了+1,"M")=0,1,CEILING(DATEDIF(_xlpm.DC開始,_xlpm.DC終了+1,"M")/12,1)),
     IF(_xlpm.年数&lt;=20,MAX(400000*_xlpm.年数,800000),8000000+700000*(_xlpm.年数-20))
   ),
 IF(G8="会社退職金 → DC",
   _xlfn.LET(
     _xlpm.会社控除額,入力!$B$20,
     _xlpm.会社控除額
   ),
 "")))</f>
        <v>5200000</v>
      </c>
      <c r="L8" s="29" t="str">
        <f t="shared" si="4"/>
        <v>非該当</v>
      </c>
      <c r="M8" s="30">
        <f>_xlfn.LET(
 _xlpm.前判定,L8,
 _xlpm.前退,J8,
 _xlpm.前控,K8,
 _xlpm.会勤年,入力!$B$19,
 IF(G8="同年受取","",
   IF(OR(_xlpm.前退="",_xlpm.前控=""),"",
     IF(_xlpm.前判定="該当",
       ROUNDDOWN(IF(_xlpm.前退&lt;=8000000,_xlpm.前退/400000,(_xlpm.前退-8000000)/700000+20),0),
       IF(G8="DC → 会社退職金",
         _xlfn.LET(
           _xlpm.DC開始,入力!$B$10,
           _xlpm.DC終了,B8,
           DATEDIF(_xlpm.DC開始,_xlpm.DC終了+1,"Y")
           +IF(DATEDIF(_xlpm.DC開始,_xlpm.DC終了+1,"YD")&gt;0,1,0)
         ),
         IF(G8="会社退職金 → DC",
           _xlpm.会勤年,
           ""
         )
       )
     )
   )
 )
)</f>
        <v>13</v>
      </c>
      <c r="N8" s="31">
        <f>IF(G8="同年受取","",IF(I8&lt;&gt;"対象","",MAX(IF(G8="DC → 会社退職金",入力!$B$10,入力!$B$6),IF(G8="DC → 会社退職金",入力!$B$6,入力!$B$10))))</f>
        <v>44652</v>
      </c>
      <c r="O8" s="31">
        <f>_xlfn.LET(
  _xlpm.受取順,G8,
  _xlpm.対象,I8,
  _xlpm.前退,J8,
  _xlpm.前控,K8,
  _xlpm.前換算年,M8,
  _xlpm.会社開始,入力!$B$6,
  _xlpm.会社終了,入力!$B$7,
  _xlpm.DC開始,入力!$B$10,
  _xlpm.DC終了,B8,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49125</v>
      </c>
      <c r="P8" s="30">
        <f t="shared" si="5"/>
        <v>12</v>
      </c>
      <c r="Q8" s="29">
        <f>IF(G8="同年受取","",
_xlfn.LET(
_xlpm.受取順,G8,
_xlpm.実重複年,P8,
_xlpm.会社本来控除,入力!$B$20,
_xlpm.重複控除,IF(
_xlpm.実重複年&lt;=20,
MAX(800000,400000*_xlpm.実重複年),
8000000+700000*(_xlpm.実重複年-20)
),
IF(
_xlpm.受取順="DC → 会社退職金",
IF(
I8="対象",
MAX(0,_xlpm.会社本来控除-_xlpm.重複控除),
_xlpm.会社本来控除
),
_xlpm.会社本来控除
)
))</f>
        <v>22100000</v>
      </c>
      <c r="R8" s="29">
        <f>IF(G8="同年受取","",
 _xlfn.LET(
  _xlpm.受取順,G8,
  _xlpm.DC開始,入力!$B$10,
  _xlpm.DC終了,B8,
  _xlpm.実重複年,P8,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I8="対象",
    MAX(0,_xlpm.DC本来控除-_xlpm.重複控除),
    _xlpm.DC本来控除
   ),
   _xlpm.DC本来控除
  )
 )
)</f>
        <v>5200000</v>
      </c>
      <c r="S8" s="29">
        <f t="shared" si="6"/>
        <v>0</v>
      </c>
      <c r="T8" s="29">
        <f t="shared" si="7"/>
        <v>2400000</v>
      </c>
      <c r="U8" s="32">
        <f>IF(OR(G8="同年受取",S8=""),"",VLOOKUP(S8,税率表!$A$2:$C$8,2,TRUE))</f>
        <v>0.05</v>
      </c>
      <c r="V8" s="29">
        <f>IF(U8="","",VLOOKUP(S8,税率表!$A$2:$C$8,3,TRUE))</f>
        <v>0</v>
      </c>
      <c r="W8" s="29">
        <f t="shared" si="8"/>
        <v>0</v>
      </c>
      <c r="X8" s="32">
        <f>IF(OR(G8="同年受取",T8=""),"",VLOOKUP(T8,税率表!$A$2:$C$8,2,TRUE))</f>
        <v>0.1</v>
      </c>
      <c r="Y8" s="29">
        <f>IF(X8="","",VLOOKUP(T8,税率表!$A$2:$C$8,3,TRUE))</f>
        <v>97500</v>
      </c>
      <c r="Z8" s="29">
        <f t="shared" si="9"/>
        <v>145492</v>
      </c>
      <c r="AA8" s="29">
        <f t="shared" si="10"/>
        <v>0</v>
      </c>
      <c r="AB8" s="29">
        <f t="shared" si="11"/>
        <v>240000</v>
      </c>
      <c r="AC8" s="29">
        <f t="shared" si="12"/>
        <v>385492</v>
      </c>
      <c r="AD8" s="29">
        <f t="shared" si="13"/>
        <v>10614508</v>
      </c>
      <c r="AE8" s="33" t="str">
        <f t="shared" si="14"/>
        <v>No.2732：確認期間→前の金額/控除→換算年数→重複年度→後の控除調整→課税退職所得→税額</v>
      </c>
      <c r="AF8" s="33">
        <f t="shared" si="15"/>
        <v>22</v>
      </c>
      <c r="AG8" s="33">
        <f>IF(OR(J8="",K8="",G8="同年受取"),"",IF(J8&lt;K8,AF8,IF(G8="DC → 会社退職金",入力!$B$21,入力!$B$19)))</f>
        <v>15</v>
      </c>
      <c r="AH8" s="34" t="str">
        <f>IF(G8&lt;&gt;"同年受取","",_xlfn.LET(
_xlpm.A開始,入力!$B$6,
_xlpm.A終了,入力!$B$7,
_xlpm.B開始,入力!$B$10,
_xlpm.B終了,B8,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8" s="35" t="str">
        <f t="shared" si="16"/>
        <v/>
      </c>
      <c r="AJ8" s="35" t="str">
        <f t="shared" si="17"/>
        <v/>
      </c>
      <c r="AK8" s="36" t="str">
        <f t="shared" si="18"/>
        <v/>
      </c>
      <c r="AL8" s="35" t="str">
        <f t="shared" si="19"/>
        <v/>
      </c>
      <c r="AM8" s="35" t="str">
        <f t="shared" si="20"/>
        <v/>
      </c>
      <c r="AN8" s="35" t="str">
        <f t="shared" si="21"/>
        <v/>
      </c>
      <c r="AO8" s="35" t="str">
        <f t="shared" si="22"/>
        <v/>
      </c>
      <c r="AP8" s="35" t="str">
        <f t="shared" si="23"/>
        <v/>
      </c>
      <c r="AQ8" s="35">
        <f t="shared" si="24"/>
        <v>10614508</v>
      </c>
    </row>
    <row r="9" spans="1:43" ht="18.75" customHeight="1" x14ac:dyDescent="0.4">
      <c r="A9" s="25">
        <v>6</v>
      </c>
      <c r="B9" s="5">
        <v>49490</v>
      </c>
      <c r="C9" s="5">
        <v>49490</v>
      </c>
      <c r="D9" s="26">
        <f>入力!$B$8</f>
        <v>49459</v>
      </c>
      <c r="E9" s="27">
        <f>入力!$B$13</f>
        <v>10000000</v>
      </c>
      <c r="F9" s="27">
        <f>入力!$B$9</f>
        <v>1000000</v>
      </c>
      <c r="G9" s="28" t="str">
        <f t="shared" si="0"/>
        <v>同年受取</v>
      </c>
      <c r="H9" s="28" t="str">
        <f t="shared" si="1"/>
        <v/>
      </c>
      <c r="I9" s="28" t="str">
        <f t="shared" si="2"/>
        <v>同年合算</v>
      </c>
      <c r="J9" s="27" t="str">
        <f t="shared" si="3"/>
        <v/>
      </c>
      <c r="K9" s="27" t="str">
        <f>IF(G9="同年受取","",
 IF(G9="DC → 会社退職金",
   _xlfn.LET(
     _xlpm.DC開始,入力!$B$10,
     _xlpm.DC終了,B9,
     _xlpm.年数,IF(DATEDIF(_xlpm.DC開始,_xlpm.DC終了+1,"M")=0,1,CEILING(DATEDIF(_xlpm.DC開始,_xlpm.DC終了+1,"M")/12,1)),
     IF(_xlpm.年数&lt;=20,MAX(400000*_xlpm.年数,800000),8000000+700000*(_xlpm.年数-20))
   ),
 IF(G9="会社退職金 → DC",
   _xlfn.LET(
     _xlpm.会社控除額,入力!$B$20,
     _xlpm.会社控除額
   ),
 "")))</f>
        <v/>
      </c>
      <c r="L9" s="29" t="str">
        <f t="shared" si="4"/>
        <v/>
      </c>
      <c r="M9" s="30" t="str">
        <f>_xlfn.LET(
 _xlpm.前判定,L9,
 _xlpm.前退,J9,
 _xlpm.前控,K9,
 _xlpm.会勤年,入力!$B$19,
 IF(G9="同年受取","",
   IF(OR(_xlpm.前退="",_xlpm.前控=""),"",
     IF(_xlpm.前判定="該当",
       ROUNDDOWN(IF(_xlpm.前退&lt;=8000000,_xlpm.前退/400000,(_xlpm.前退-8000000)/700000+20),0),
       IF(G9="DC → 会社退職金",
         _xlfn.LET(
           _xlpm.DC開始,入力!$B$10,
           _xlpm.DC終了,B9,
           DATEDIF(_xlpm.DC開始,_xlpm.DC終了+1,"Y")
           +IF(DATEDIF(_xlpm.DC開始,_xlpm.DC終了+1,"YD")&gt;0,1,0)
         ),
         IF(G9="会社退職金 → DC",
           _xlpm.会勤年,
           ""
         )
       )
     )
   )
 )
)</f>
        <v/>
      </c>
      <c r="N9" s="31" t="str">
        <f>IF(G9="同年受取","",IF(I9&lt;&gt;"対象","",MAX(IF(G9="DC → 会社退職金",入力!$B$10,入力!$B$6),IF(G9="DC → 会社退職金",入力!$B$6,入力!$B$10))))</f>
        <v/>
      </c>
      <c r="O9" s="31" t="str">
        <f>_xlfn.LET(
  _xlpm.受取順,G9,
  _xlpm.対象,I9,
  _xlpm.前退,J9,
  _xlpm.前控,K9,
  _xlpm.前換算年,M9,
  _xlpm.会社開始,入力!$B$6,
  _xlpm.会社終了,入力!$B$7,
  _xlpm.DC開始,入力!$B$10,
  _xlpm.DC終了,B9,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
      </c>
      <c r="P9" s="30" t="str">
        <f t="shared" si="5"/>
        <v/>
      </c>
      <c r="Q9" s="29" t="str">
        <f>IF(G9="同年受取","",
_xlfn.LET(
_xlpm.受取順,G9,
_xlpm.実重複年,P9,
_xlpm.会社本来控除,入力!$B$20,
_xlpm.重複控除,IF(
_xlpm.実重複年&lt;=20,
MAX(800000,400000*_xlpm.実重複年),
8000000+700000*(_xlpm.実重複年-20)
),
IF(
_xlpm.受取順="DC → 会社退職金",
IF(
I9="対象",
MAX(0,_xlpm.会社本来控除-_xlpm.重複控除),
_xlpm.会社本来控除
),
_xlpm.会社本来控除
)
))</f>
        <v/>
      </c>
      <c r="R9" s="29" t="str">
        <f>IF(G9="同年受取","",
 _xlfn.LET(
  _xlpm.受取順,G9,
  _xlpm.DC開始,入力!$B$10,
  _xlpm.DC終了,B9,
  _xlpm.実重複年,P9,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I9="対象",
    MAX(0,_xlpm.DC本来控除-_xlpm.重複控除),
    _xlpm.DC本来控除
   ),
   _xlpm.DC本来控除
  )
 )
)</f>
        <v/>
      </c>
      <c r="S9" s="29" t="str">
        <f t="shared" si="6"/>
        <v/>
      </c>
      <c r="T9" s="29" t="str">
        <f t="shared" si="7"/>
        <v/>
      </c>
      <c r="U9" s="32" t="str">
        <f>IF(OR(G9="同年受取",S9=""),"",VLOOKUP(S9,税率表!$A$2:$C$8,2,TRUE))</f>
        <v/>
      </c>
      <c r="V9" s="29" t="str">
        <f>IF(U9="","",VLOOKUP(S9,税率表!$A$2:$C$8,3,TRUE))</f>
        <v/>
      </c>
      <c r="W9" s="29" t="str">
        <f t="shared" si="8"/>
        <v/>
      </c>
      <c r="X9" s="32" t="str">
        <f>IF(OR(G9="同年受取",T9=""),"",VLOOKUP(T9,税率表!$A$2:$C$8,2,TRUE))</f>
        <v/>
      </c>
      <c r="Y9" s="29" t="str">
        <f>IF(X9="","",VLOOKUP(T9,税率表!$A$2:$C$8,3,TRUE))</f>
        <v/>
      </c>
      <c r="Z9" s="29" t="str">
        <f t="shared" si="9"/>
        <v/>
      </c>
      <c r="AA9" s="29" t="str">
        <f t="shared" si="10"/>
        <v/>
      </c>
      <c r="AB9" s="29" t="str">
        <f t="shared" si="11"/>
        <v/>
      </c>
      <c r="AC9" s="29" t="str">
        <f t="shared" si="12"/>
        <v/>
      </c>
      <c r="AD9" s="29" t="str">
        <f t="shared" si="13"/>
        <v/>
      </c>
      <c r="AE9" s="33" t="str">
        <f t="shared" si="14"/>
        <v>No.2735：同年の退職手当等を合算し、2制度の勤続期間を統合して退職所得控除額を計算</v>
      </c>
      <c r="AF9" s="33" t="str">
        <f t="shared" si="15"/>
        <v/>
      </c>
      <c r="AG9" s="33" t="str">
        <f>IF(OR(J9="",K9="",G9="同年受取"),"",IF(J9&lt;K9,AF9,IF(G9="DC → 会社退職金",入力!$B$21,入力!$B$19)))</f>
        <v/>
      </c>
      <c r="AH9" s="34">
        <f>IF(G9&lt;&gt;"同年受取","",_xlfn.LET(
_xlpm.A開始,入力!$B$6,
_xlpm.A終了,入力!$B$7,
_xlpm.B開始,入力!$B$10,
_xlpm.B終了,B9,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47</v>
      </c>
      <c r="AI9" s="35">
        <f t="shared" si="16"/>
        <v>26900000</v>
      </c>
      <c r="AJ9" s="35">
        <f t="shared" si="17"/>
        <v>0</v>
      </c>
      <c r="AK9" s="36">
        <f t="shared" si="18"/>
        <v>0.05</v>
      </c>
      <c r="AL9" s="35">
        <f t="shared" si="19"/>
        <v>0</v>
      </c>
      <c r="AM9" s="35">
        <f t="shared" si="20"/>
        <v>0</v>
      </c>
      <c r="AN9" s="35">
        <f t="shared" si="21"/>
        <v>0</v>
      </c>
      <c r="AO9" s="35">
        <f t="shared" si="22"/>
        <v>0</v>
      </c>
      <c r="AP9" s="35">
        <f t="shared" si="23"/>
        <v>11000000</v>
      </c>
      <c r="AQ9" s="35">
        <f t="shared" si="24"/>
        <v>11000000</v>
      </c>
    </row>
    <row r="10" spans="1:43" ht="18.75" customHeight="1" x14ac:dyDescent="0.4">
      <c r="A10" s="25">
        <v>7</v>
      </c>
      <c r="B10" s="5">
        <v>49856</v>
      </c>
      <c r="C10" s="5">
        <v>49856</v>
      </c>
      <c r="D10" s="26">
        <f>入力!$B$8</f>
        <v>49459</v>
      </c>
      <c r="E10" s="27">
        <f>入力!$B$13</f>
        <v>10000000</v>
      </c>
      <c r="F10" s="27">
        <f>入力!$B$9</f>
        <v>1000000</v>
      </c>
      <c r="G10" s="28" t="str">
        <f t="shared" si="0"/>
        <v>会社退職金 → DC</v>
      </c>
      <c r="H10" s="28">
        <f t="shared" si="1"/>
        <v>19</v>
      </c>
      <c r="I10" s="28" t="str">
        <f t="shared" si="2"/>
        <v>対象</v>
      </c>
      <c r="J10" s="27">
        <f t="shared" si="3"/>
        <v>1000000</v>
      </c>
      <c r="K10" s="27">
        <f>IF(G10="同年受取","",
 IF(G10="DC → 会社退職金",
   _xlfn.LET(
     _xlpm.DC開始,入力!$B$10,
     _xlpm.DC終了,B10,
     _xlpm.年数,IF(DATEDIF(_xlpm.DC開始,_xlpm.DC終了+1,"M")=0,1,CEILING(DATEDIF(_xlpm.DC開始,_xlpm.DC終了+1,"M")/12,1)),
     IF(_xlpm.年数&lt;=20,MAX(400000*_xlpm.年数,800000),8000000+700000*(_xlpm.年数-20))
   ),
 IF(G10="会社退職金 → DC",
   _xlfn.LET(
     _xlpm.会社控除額,入力!$B$20,
     _xlpm.会社控除額
   ),
 "")))</f>
        <v>26900000</v>
      </c>
      <c r="L10" s="29" t="str">
        <f t="shared" si="4"/>
        <v>該当</v>
      </c>
      <c r="M10" s="30">
        <f>_xlfn.LET(
 _xlpm.前判定,L10,
 _xlpm.前退,J10,
 _xlpm.前控,K10,
 _xlpm.会勤年,入力!$B$19,
 IF(G10="同年受取","",
   IF(OR(_xlpm.前退="",_xlpm.前控=""),"",
     IF(_xlpm.前判定="該当",
       ROUNDDOWN(IF(_xlpm.前退&lt;=8000000,_xlpm.前退/400000,(_xlpm.前退-8000000)/700000+20),0),
       IF(G10="DC → 会社退職金",
         _xlfn.LET(
           _xlpm.DC開始,入力!$B$10,
           _xlpm.DC終了,B10,
           DATEDIF(_xlpm.DC開始,_xlpm.DC終了+1,"Y")
           +IF(DATEDIF(_xlpm.DC開始,_xlpm.DC終了+1,"YD")&gt;0,1,0)
         ),
         IF(G10="会社退職金 → DC",
           _xlpm.会勤年,
           ""
         )
       )
     )
   )
 )
)</f>
        <v>2</v>
      </c>
      <c r="N10" s="31">
        <f>IF(G10="同年受取","",IF(I10&lt;&gt;"対象","",MAX(IF(G10="DC → 会社退職金",入力!$B$10,入力!$B$6),IF(G10="DC → 会社退職金",入力!$B$6,入力!$B$10))))</f>
        <v>44652</v>
      </c>
      <c r="O10" s="31">
        <f>_xlfn.LET(
  _xlpm.受取順,G10,
  _xlpm.対象,I10,
  _xlpm.前退,J10,
  _xlpm.前控,K10,
  _xlpm.前換算年,M10,
  _xlpm.会社開始,入力!$B$6,
  _xlpm.会社終了,入力!$B$7,
  _xlpm.DC開始,入力!$B$10,
  _xlpm.DC終了,B10,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0" s="30">
        <f t="shared" si="5"/>
        <v>0</v>
      </c>
      <c r="Q10" s="29">
        <f>IF(G10="同年受取","",
_xlfn.LET(
_xlpm.受取順,G10,
_xlpm.実重複年,P10,
_xlpm.会社本来控除,入力!$B$20,
_xlpm.重複控除,IF(
_xlpm.実重複年&lt;=20,
MAX(800000,400000*_xlpm.実重複年),
8000000+700000*(_xlpm.実重複年-20)
),
IF(
_xlpm.受取順="DC → 会社退職金",
IF(
I10="対象",
MAX(0,_xlpm.会社本来控除-_xlpm.重複控除),
_xlpm.会社本来控除
),
_xlpm.会社本来控除
)
))</f>
        <v>26900000</v>
      </c>
      <c r="R10" s="29">
        <f>IF(G10="同年受取","",
 _xlfn.LET(
  _xlpm.受取順,G10,
  _xlpm.DC開始,入力!$B$10,
  _xlpm.DC終了,B10,
  _xlpm.実重複年,P10,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I10="対象",
    MAX(0,_xlpm.DC本来控除-_xlpm.重複控除),
    _xlpm.DC本来控除
   ),
   _xlpm.DC本来控除
  )
 )
)</f>
        <v>6000000</v>
      </c>
      <c r="S10" s="29">
        <f t="shared" si="6"/>
        <v>0</v>
      </c>
      <c r="T10" s="29">
        <f t="shared" si="7"/>
        <v>2000000</v>
      </c>
      <c r="U10" s="32">
        <f>IF(OR(G10="同年受取",S10=""),"",VLOOKUP(S10,税率表!$A$2:$C$8,2,TRUE))</f>
        <v>0.05</v>
      </c>
      <c r="V10" s="29">
        <f>IF(U10="","",VLOOKUP(S10,税率表!$A$2:$C$8,3,TRUE))</f>
        <v>0</v>
      </c>
      <c r="W10" s="29">
        <f t="shared" si="8"/>
        <v>0</v>
      </c>
      <c r="X10" s="32">
        <f>IF(OR(G10="同年受取",T10=""),"",VLOOKUP(T10,税率表!$A$2:$C$8,2,TRUE))</f>
        <v>0.1</v>
      </c>
      <c r="Y10" s="29">
        <f>IF(X10="","",VLOOKUP(T10,税率表!$A$2:$C$8,3,TRUE))</f>
        <v>97500</v>
      </c>
      <c r="Z10" s="29">
        <f t="shared" si="9"/>
        <v>104652</v>
      </c>
      <c r="AA10" s="29">
        <f t="shared" si="10"/>
        <v>0</v>
      </c>
      <c r="AB10" s="29">
        <f t="shared" si="11"/>
        <v>200000</v>
      </c>
      <c r="AC10" s="29">
        <f t="shared" si="12"/>
        <v>304652</v>
      </c>
      <c r="AD10" s="29">
        <f t="shared" si="13"/>
        <v>10695348</v>
      </c>
      <c r="AE10" s="33" t="str">
        <f t="shared" si="14"/>
        <v>No.2732：確認期間→前の金額/控除→換算年数→重複年度→後の控除調整→課税退職所得→税額</v>
      </c>
      <c r="AF10" s="33">
        <f t="shared" si="15"/>
        <v>2</v>
      </c>
      <c r="AG10" s="33">
        <f>IF(OR(J10="",K10="",G10="同年受取"),"",IF(J10&lt;K10,AF10,IF(G10="DC → 会社退職金",入力!$B$21,入力!$B$19)))</f>
        <v>2</v>
      </c>
      <c r="AH10" s="34" t="str">
        <f>IF(G10&lt;&gt;"同年受取","",_xlfn.LET(
_xlpm.A開始,入力!$B$6,
_xlpm.A終了,入力!$B$7,
_xlpm.B開始,入力!$B$10,
_xlpm.B終了,B10,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0" s="35" t="str">
        <f t="shared" si="16"/>
        <v/>
      </c>
      <c r="AJ10" s="35" t="str">
        <f t="shared" si="17"/>
        <v/>
      </c>
      <c r="AK10" s="36" t="str">
        <f t="shared" si="18"/>
        <v/>
      </c>
      <c r="AL10" s="35" t="str">
        <f t="shared" si="19"/>
        <v/>
      </c>
      <c r="AM10" s="35" t="str">
        <f t="shared" si="20"/>
        <v/>
      </c>
      <c r="AN10" s="35" t="str">
        <f t="shared" si="21"/>
        <v/>
      </c>
      <c r="AO10" s="35" t="str">
        <f t="shared" si="22"/>
        <v/>
      </c>
      <c r="AP10" s="35" t="str">
        <f t="shared" si="23"/>
        <v/>
      </c>
      <c r="AQ10" s="35">
        <f t="shared" si="24"/>
        <v>10695348</v>
      </c>
    </row>
    <row r="11" spans="1:43" ht="18.75" customHeight="1" x14ac:dyDescent="0.4">
      <c r="A11" s="25">
        <v>8</v>
      </c>
      <c r="B11" s="5">
        <v>50221</v>
      </c>
      <c r="C11" s="5">
        <v>50221</v>
      </c>
      <c r="D11" s="26">
        <f>入力!$B$8</f>
        <v>49459</v>
      </c>
      <c r="E11" s="27">
        <f>入力!$B$13</f>
        <v>10000000</v>
      </c>
      <c r="F11" s="27">
        <f>入力!$B$9</f>
        <v>1000000</v>
      </c>
      <c r="G11" s="28" t="str">
        <f t="shared" si="0"/>
        <v>会社退職金 → DC</v>
      </c>
      <c r="H11" s="28">
        <f t="shared" si="1"/>
        <v>19</v>
      </c>
      <c r="I11" s="28" t="str">
        <f t="shared" si="2"/>
        <v>対象</v>
      </c>
      <c r="J11" s="27">
        <f t="shared" si="3"/>
        <v>1000000</v>
      </c>
      <c r="K11" s="27">
        <f>IF(G11="同年受取","",
 IF(G11="DC → 会社退職金",
   _xlfn.LET(
     _xlpm.DC開始,入力!$B$10,
     _xlpm.DC終了,B11,
     _xlpm.年数,IF(DATEDIF(_xlpm.DC開始,_xlpm.DC終了+1,"M")=0,1,CEILING(DATEDIF(_xlpm.DC開始,_xlpm.DC終了+1,"M")/12,1)),
     IF(_xlpm.年数&lt;=20,MAX(400000*_xlpm.年数,800000),8000000+700000*(_xlpm.年数-20))
   ),
 IF(G11="会社退職金 → DC",
   _xlfn.LET(
     _xlpm.会社控除額,入力!$B$20,
     _xlpm.会社控除額
   ),
 "")))</f>
        <v>26900000</v>
      </c>
      <c r="L11" s="29" t="str">
        <f t="shared" si="4"/>
        <v>該当</v>
      </c>
      <c r="M11" s="30">
        <f>_xlfn.LET(
 _xlpm.前判定,L11,
 _xlpm.前退,J11,
 _xlpm.前控,K11,
 _xlpm.会勤年,入力!$B$19,
 IF(G11="同年受取","",
   IF(OR(_xlpm.前退="",_xlpm.前控=""),"",
     IF(_xlpm.前判定="該当",
       ROUNDDOWN(IF(_xlpm.前退&lt;=8000000,_xlpm.前退/400000,(_xlpm.前退-8000000)/700000+20),0),
       IF(G11="DC → 会社退職金",
         _xlfn.LET(
           _xlpm.DC開始,入力!$B$10,
           _xlpm.DC終了,B11,
           DATEDIF(_xlpm.DC開始,_xlpm.DC終了+1,"Y")
           +IF(DATEDIF(_xlpm.DC開始,_xlpm.DC終了+1,"YD")&gt;0,1,0)
         ),
         IF(G11="会社退職金 → DC",
           _xlpm.会勤年,
           ""
         )
       )
     )
   )
 )
)</f>
        <v>2</v>
      </c>
      <c r="N11" s="31">
        <f>IF(G11="同年受取","",IF(I11&lt;&gt;"対象","",MAX(IF(G11="DC → 会社退職金",入力!$B$10,入力!$B$6),IF(G11="DC → 会社退職金",入力!$B$6,入力!$B$10))))</f>
        <v>44652</v>
      </c>
      <c r="O11" s="31">
        <f>_xlfn.LET(
  _xlpm.受取順,G11,
  _xlpm.対象,I11,
  _xlpm.前退,J11,
  _xlpm.前控,K11,
  _xlpm.前換算年,M11,
  _xlpm.会社開始,入力!$B$6,
  _xlpm.会社終了,入力!$B$7,
  _xlpm.DC開始,入力!$B$10,
  _xlpm.DC終了,B11,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1" s="30">
        <f t="shared" si="5"/>
        <v>0</v>
      </c>
      <c r="Q11" s="29">
        <f>IF(G11="同年受取","",
_xlfn.LET(
_xlpm.受取順,G11,
_xlpm.実重複年,P11,
_xlpm.会社本来控除,入力!$B$20,
_xlpm.重複控除,IF(
_xlpm.実重複年&lt;=20,
MAX(800000,400000*_xlpm.実重複年),
8000000+700000*(_xlpm.実重複年-20)
),
IF(
_xlpm.受取順="DC → 会社退職金",
IF(
I11="対象",
MAX(0,_xlpm.会社本来控除-_xlpm.重複控除),
_xlpm.会社本来控除
),
_xlpm.会社本来控除
)
))</f>
        <v>26900000</v>
      </c>
      <c r="R11" s="29">
        <f>IF(G11="同年受取","",
 _xlfn.LET(
  _xlpm.受取順,G11,
  _xlpm.DC開始,入力!$B$10,
  _xlpm.DC終了,B11,
  _xlpm.実重複年,P11,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I11="対象",
    MAX(0,_xlpm.DC本来控除-_xlpm.重複控除),
    _xlpm.DC本来控除
   ),
   _xlpm.DC本来控除
  )
 )
)</f>
        <v>6400000</v>
      </c>
      <c r="S11" s="29">
        <f t="shared" si="6"/>
        <v>0</v>
      </c>
      <c r="T11" s="29">
        <f t="shared" si="7"/>
        <v>1800000</v>
      </c>
      <c r="U11" s="32">
        <f>IF(OR(G11="同年受取",S11=""),"",VLOOKUP(S11,税率表!$A$2:$C$8,2,TRUE))</f>
        <v>0.05</v>
      </c>
      <c r="V11" s="29">
        <f>IF(U11="","",VLOOKUP(S11,税率表!$A$2:$C$8,3,TRUE))</f>
        <v>0</v>
      </c>
      <c r="W11" s="29">
        <f t="shared" si="8"/>
        <v>0</v>
      </c>
      <c r="X11" s="32">
        <f>IF(OR(G11="同年受取",T11=""),"",VLOOKUP(T11,税率表!$A$2:$C$8,2,TRUE))</f>
        <v>0.05</v>
      </c>
      <c r="Y11" s="29">
        <f>IF(X11="","",VLOOKUP(T11,税率表!$A$2:$C$8,3,TRUE))</f>
        <v>0</v>
      </c>
      <c r="Z11" s="29">
        <f t="shared" si="9"/>
        <v>91890</v>
      </c>
      <c r="AA11" s="29">
        <f t="shared" si="10"/>
        <v>0</v>
      </c>
      <c r="AB11" s="29">
        <f t="shared" si="11"/>
        <v>180000</v>
      </c>
      <c r="AC11" s="29">
        <f t="shared" si="12"/>
        <v>271890</v>
      </c>
      <c r="AD11" s="29">
        <f t="shared" si="13"/>
        <v>10728110</v>
      </c>
      <c r="AE11" s="33" t="str">
        <f t="shared" si="14"/>
        <v>No.2732：確認期間→前の金額/控除→換算年数→重複年度→後の控除調整→課税退職所得→税額</v>
      </c>
      <c r="AF11" s="33">
        <f t="shared" si="15"/>
        <v>2</v>
      </c>
      <c r="AG11" s="33">
        <f>IF(OR(J11="",K11="",G11="同年受取"),"",IF(J11&lt;K11,AF11,IF(G11="DC → 会社退職金",入力!$B$21,入力!$B$19)))</f>
        <v>2</v>
      </c>
      <c r="AH11" s="34" t="str">
        <f>IF(G11&lt;&gt;"同年受取","",_xlfn.LET(
_xlpm.A開始,入力!$B$6,
_xlpm.A終了,入力!$B$7,
_xlpm.B開始,入力!$B$10,
_xlpm.B終了,B11,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1" s="35" t="str">
        <f t="shared" si="16"/>
        <v/>
      </c>
      <c r="AJ11" s="35" t="str">
        <f t="shared" si="17"/>
        <v/>
      </c>
      <c r="AK11" s="36" t="str">
        <f t="shared" si="18"/>
        <v/>
      </c>
      <c r="AL11" s="35" t="str">
        <f t="shared" si="19"/>
        <v/>
      </c>
      <c r="AM11" s="35" t="str">
        <f t="shared" si="20"/>
        <v/>
      </c>
      <c r="AN11" s="35" t="str">
        <f t="shared" si="21"/>
        <v/>
      </c>
      <c r="AO11" s="35" t="str">
        <f t="shared" si="22"/>
        <v/>
      </c>
      <c r="AP11" s="35" t="str">
        <f t="shared" si="23"/>
        <v/>
      </c>
      <c r="AQ11" s="35">
        <f t="shared" si="24"/>
        <v>10728110</v>
      </c>
    </row>
    <row r="12" spans="1:43" ht="18.75" customHeight="1" x14ac:dyDescent="0.4">
      <c r="A12" s="25">
        <v>9</v>
      </c>
      <c r="B12" s="5">
        <v>50586</v>
      </c>
      <c r="C12" s="5">
        <v>50586</v>
      </c>
      <c r="D12" s="26">
        <f>入力!$B$8</f>
        <v>49459</v>
      </c>
      <c r="E12" s="27">
        <f>入力!$B$13</f>
        <v>10000000</v>
      </c>
      <c r="F12" s="27">
        <f>入力!$B$9</f>
        <v>1000000</v>
      </c>
      <c r="G12" s="28" t="str">
        <f t="shared" si="0"/>
        <v>会社退職金 → DC</v>
      </c>
      <c r="H12" s="28">
        <f t="shared" si="1"/>
        <v>19</v>
      </c>
      <c r="I12" s="28" t="str">
        <f t="shared" si="2"/>
        <v>対象</v>
      </c>
      <c r="J12" s="27">
        <f t="shared" si="3"/>
        <v>1000000</v>
      </c>
      <c r="K12" s="27">
        <f>IF(G12="同年受取","",
 IF(G12="DC → 会社退職金",
   _xlfn.LET(
     _xlpm.DC開始,入力!$B$10,
     _xlpm.DC終了,B12,
     _xlpm.年数,IF(DATEDIF(_xlpm.DC開始,_xlpm.DC終了+1,"M")=0,1,CEILING(DATEDIF(_xlpm.DC開始,_xlpm.DC終了+1,"M")/12,1)),
     IF(_xlpm.年数&lt;=20,MAX(400000*_xlpm.年数,800000),8000000+700000*(_xlpm.年数-20))
   ),
 IF(G12="会社退職金 → DC",
   _xlfn.LET(
     _xlpm.会社控除額,入力!$B$20,
     _xlpm.会社控除額
   ),
 "")))</f>
        <v>26900000</v>
      </c>
      <c r="L12" s="29" t="str">
        <f t="shared" si="4"/>
        <v>該当</v>
      </c>
      <c r="M12" s="30">
        <f>_xlfn.LET(
 _xlpm.前判定,L12,
 _xlpm.前退,J12,
 _xlpm.前控,K12,
 _xlpm.会勤年,入力!$B$19,
 IF(G12="同年受取","",
   IF(OR(_xlpm.前退="",_xlpm.前控=""),"",
     IF(_xlpm.前判定="該当",
       ROUNDDOWN(IF(_xlpm.前退&lt;=8000000,_xlpm.前退/400000,(_xlpm.前退-8000000)/700000+20),0),
       IF(G12="DC → 会社退職金",
         _xlfn.LET(
           _xlpm.DC開始,入力!$B$10,
           _xlpm.DC終了,B12,
           DATEDIF(_xlpm.DC開始,_xlpm.DC終了+1,"Y")
           +IF(DATEDIF(_xlpm.DC開始,_xlpm.DC終了+1,"YD")&gt;0,1,0)
         ),
         IF(G12="会社退職金 → DC",
           _xlpm.会勤年,
           ""
         )
       )
     )
   )
 )
)</f>
        <v>2</v>
      </c>
      <c r="N12" s="31">
        <f>IF(G12="同年受取","",IF(I12&lt;&gt;"対象","",MAX(IF(G12="DC → 会社退職金",入力!$B$10,入力!$B$6),IF(G12="DC → 会社退職金",入力!$B$6,入力!$B$10))))</f>
        <v>44652</v>
      </c>
      <c r="O12" s="31">
        <f>_xlfn.LET(
  _xlpm.受取順,G12,
  _xlpm.対象,I12,
  _xlpm.前退,J12,
  _xlpm.前控,K12,
  _xlpm.前換算年,M12,
  _xlpm.会社開始,入力!$B$6,
  _xlpm.会社終了,入力!$B$7,
  _xlpm.DC開始,入力!$B$10,
  _xlpm.DC終了,B12,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2" s="30">
        <f t="shared" si="5"/>
        <v>0</v>
      </c>
      <c r="Q12" s="29">
        <f>IF(G12="同年受取","",
_xlfn.LET(
_xlpm.受取順,G12,
_xlpm.実重複年,P12,
_xlpm.会社本来控除,入力!$B$20,
_xlpm.重複控除,IF(
_xlpm.実重複年&lt;=20,
MAX(800000,400000*_xlpm.実重複年),
8000000+700000*(_xlpm.実重複年-20)
),
IF(
_xlpm.受取順="DC → 会社退職金",
IF(
I12="対象",
MAX(0,_xlpm.会社本来控除-_xlpm.重複控除),
_xlpm.会社本来控除
),
_xlpm.会社本来控除
)
))</f>
        <v>26900000</v>
      </c>
      <c r="R12" s="29">
        <f>IF(G12="同年受取","",
 _xlfn.LET(
  _xlpm.受取順,G12,
  _xlpm.DC開始,入力!$B$10,
  _xlpm.DC終了,B12,
  _xlpm.実重複年,P12,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I12="対象",
    MAX(0,_xlpm.DC本来控除-_xlpm.重複控除),
    _xlpm.DC本来控除
   ),
   _xlpm.DC本来控除
  )
 )
)</f>
        <v>6800000</v>
      </c>
      <c r="S12" s="29">
        <f t="shared" si="6"/>
        <v>0</v>
      </c>
      <c r="T12" s="29">
        <f t="shared" si="7"/>
        <v>1600000</v>
      </c>
      <c r="U12" s="32">
        <f>IF(OR(G12="同年受取",S12=""),"",VLOOKUP(S12,税率表!$A$2:$C$8,2,TRUE))</f>
        <v>0.05</v>
      </c>
      <c r="V12" s="29">
        <f>IF(U12="","",VLOOKUP(S12,税率表!$A$2:$C$8,3,TRUE))</f>
        <v>0</v>
      </c>
      <c r="W12" s="29">
        <f t="shared" si="8"/>
        <v>0</v>
      </c>
      <c r="X12" s="32">
        <f>IF(OR(G12="同年受取",T12=""),"",VLOOKUP(T12,税率表!$A$2:$C$8,2,TRUE))</f>
        <v>0.05</v>
      </c>
      <c r="Y12" s="29">
        <f>IF(X12="","",VLOOKUP(T12,税率表!$A$2:$C$8,3,TRUE))</f>
        <v>0</v>
      </c>
      <c r="Z12" s="29">
        <f t="shared" si="9"/>
        <v>81680</v>
      </c>
      <c r="AA12" s="29">
        <f t="shared" si="10"/>
        <v>0</v>
      </c>
      <c r="AB12" s="29">
        <f t="shared" si="11"/>
        <v>160000</v>
      </c>
      <c r="AC12" s="29">
        <f t="shared" si="12"/>
        <v>241680</v>
      </c>
      <c r="AD12" s="29">
        <f t="shared" si="13"/>
        <v>10758320</v>
      </c>
      <c r="AE12" s="33" t="str">
        <f t="shared" si="14"/>
        <v>No.2732：確認期間→前の金額/控除→換算年数→重複年度→後の控除調整→課税退職所得→税額</v>
      </c>
      <c r="AF12" s="33">
        <f t="shared" si="15"/>
        <v>2</v>
      </c>
      <c r="AG12" s="33">
        <f>IF(OR(J12="",K12="",G12="同年受取"),"",IF(J12&lt;K12,AF12,IF(G12="DC → 会社退職金",入力!$B$21,入力!$B$19)))</f>
        <v>2</v>
      </c>
      <c r="AH12" s="34" t="str">
        <f>IF(G12&lt;&gt;"同年受取","",_xlfn.LET(
_xlpm.A開始,入力!$B$6,
_xlpm.A終了,入力!$B$7,
_xlpm.B開始,入力!$B$10,
_xlpm.B終了,B12,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2" s="35" t="str">
        <f t="shared" si="16"/>
        <v/>
      </c>
      <c r="AJ12" s="35" t="str">
        <f t="shared" si="17"/>
        <v/>
      </c>
      <c r="AK12" s="36" t="str">
        <f t="shared" si="18"/>
        <v/>
      </c>
      <c r="AL12" s="35" t="str">
        <f t="shared" si="19"/>
        <v/>
      </c>
      <c r="AM12" s="35" t="str">
        <f t="shared" si="20"/>
        <v/>
      </c>
      <c r="AN12" s="35" t="str">
        <f t="shared" si="21"/>
        <v/>
      </c>
      <c r="AO12" s="35" t="str">
        <f t="shared" si="22"/>
        <v/>
      </c>
      <c r="AP12" s="35" t="str">
        <f t="shared" si="23"/>
        <v/>
      </c>
      <c r="AQ12" s="35">
        <f t="shared" si="24"/>
        <v>10758320</v>
      </c>
    </row>
    <row r="13" spans="1:43" ht="18.75" customHeight="1" x14ac:dyDescent="0.4">
      <c r="A13" s="25">
        <v>10</v>
      </c>
      <c r="B13" s="5">
        <v>50951</v>
      </c>
      <c r="C13" s="5">
        <v>50951</v>
      </c>
      <c r="D13" s="26">
        <f>入力!$B$8</f>
        <v>49459</v>
      </c>
      <c r="E13" s="27">
        <f>入力!$B$13</f>
        <v>10000000</v>
      </c>
      <c r="F13" s="27">
        <f>入力!$B$9</f>
        <v>1000000</v>
      </c>
      <c r="G13" s="28" t="str">
        <f t="shared" si="0"/>
        <v>会社退職金 → DC</v>
      </c>
      <c r="H13" s="28">
        <f t="shared" si="1"/>
        <v>19</v>
      </c>
      <c r="I13" s="28" t="str">
        <f t="shared" si="2"/>
        <v>対象</v>
      </c>
      <c r="J13" s="27">
        <f t="shared" si="3"/>
        <v>1000000</v>
      </c>
      <c r="K13" s="27">
        <f>IF(G13="同年受取","",
 IF(G13="DC → 会社退職金",
   _xlfn.LET(
     _xlpm.DC開始,入力!$B$10,
     _xlpm.DC終了,B13,
     _xlpm.年数,IF(DATEDIF(_xlpm.DC開始,_xlpm.DC終了+1,"M")=0,1,CEILING(DATEDIF(_xlpm.DC開始,_xlpm.DC終了+1,"M")/12,1)),
     IF(_xlpm.年数&lt;=20,MAX(400000*_xlpm.年数,800000),8000000+700000*(_xlpm.年数-20))
   ),
 IF(G13="会社退職金 → DC",
   _xlfn.LET(
     _xlpm.会社控除額,入力!$B$20,
     _xlpm.会社控除額
   ),
 "")))</f>
        <v>26900000</v>
      </c>
      <c r="L13" s="29" t="str">
        <f t="shared" si="4"/>
        <v>該当</v>
      </c>
      <c r="M13" s="30">
        <f>_xlfn.LET(
 _xlpm.前判定,L13,
 _xlpm.前退,J13,
 _xlpm.前控,K13,
 _xlpm.会勤年,入力!$B$19,
 IF(G13="同年受取","",
   IF(OR(_xlpm.前退="",_xlpm.前控=""),"",
     IF(_xlpm.前判定="該当",
       ROUNDDOWN(IF(_xlpm.前退&lt;=8000000,_xlpm.前退/400000,(_xlpm.前退-8000000)/700000+20),0),
       IF(G13="DC → 会社退職金",
         _xlfn.LET(
           _xlpm.DC開始,入力!$B$10,
           _xlpm.DC終了,B13,
           DATEDIF(_xlpm.DC開始,_xlpm.DC終了+1,"Y")
           +IF(DATEDIF(_xlpm.DC開始,_xlpm.DC終了+1,"YD")&gt;0,1,0)
         ),
         IF(G13="会社退職金 → DC",
           _xlpm.会勤年,
           ""
         )
       )
     )
   )
 )
)</f>
        <v>2</v>
      </c>
      <c r="N13" s="31">
        <f>IF(G13="同年受取","",IF(I13&lt;&gt;"対象","",MAX(IF(G13="DC → 会社退職金",入力!$B$10,入力!$B$6),IF(G13="DC → 会社退職金",入力!$B$6,入力!$B$10))))</f>
        <v>44652</v>
      </c>
      <c r="O13" s="31">
        <f>_xlfn.LET(
  _xlpm.受取順,G13,
  _xlpm.対象,I13,
  _xlpm.前退,J13,
  _xlpm.前控,K13,
  _xlpm.前換算年,M13,
  _xlpm.会社開始,入力!$B$6,
  _xlpm.会社終了,入力!$B$7,
  _xlpm.DC開始,入力!$B$10,
  _xlpm.DC終了,B13,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3" s="30">
        <f t="shared" si="5"/>
        <v>0</v>
      </c>
      <c r="Q13" s="29">
        <f>IF(G13="同年受取","",
_xlfn.LET(
_xlpm.受取順,G13,
_xlpm.実重複年,P13,
_xlpm.会社本来控除,入力!$B$20,
_xlpm.重複控除,IF(
_xlpm.実重複年&lt;=20,
MAX(800000,400000*_xlpm.実重複年),
8000000+700000*(_xlpm.実重複年-20)
),
IF(
_xlpm.受取順="DC → 会社退職金",
IF(
I13="対象",
MAX(0,_xlpm.会社本来控除-_xlpm.重複控除),
_xlpm.会社本来控除
),
_xlpm.会社本来控除
)
))</f>
        <v>26900000</v>
      </c>
      <c r="R13" s="29">
        <f>IF(G13="同年受取","",
 _xlfn.LET(
  _xlpm.受取順,G13,
  _xlpm.DC開始,入力!$B$10,
  _xlpm.DC終了,B13,
  _xlpm.実重複年,P13,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I13="対象",
    MAX(0,_xlpm.DC本来控除-_xlpm.重複控除),
    _xlpm.DC本来控除
   ),
   _xlpm.DC本来控除
  )
 )
)</f>
        <v>7200000</v>
      </c>
      <c r="S13" s="29">
        <f t="shared" si="6"/>
        <v>0</v>
      </c>
      <c r="T13" s="29">
        <f t="shared" si="7"/>
        <v>1400000</v>
      </c>
      <c r="U13" s="32">
        <f>IF(OR(G13="同年受取",S13=""),"",VLOOKUP(S13,税率表!$A$2:$C$8,2,TRUE))</f>
        <v>0.05</v>
      </c>
      <c r="V13" s="29">
        <f>IF(U13="","",VLOOKUP(S13,税率表!$A$2:$C$8,3,TRUE))</f>
        <v>0</v>
      </c>
      <c r="W13" s="29">
        <f t="shared" si="8"/>
        <v>0</v>
      </c>
      <c r="X13" s="32">
        <f>IF(OR(G13="同年受取",T13=""),"",VLOOKUP(T13,税率表!$A$2:$C$8,2,TRUE))</f>
        <v>0.05</v>
      </c>
      <c r="Y13" s="29">
        <f>IF(X13="","",VLOOKUP(T13,税率表!$A$2:$C$8,3,TRUE))</f>
        <v>0</v>
      </c>
      <c r="Z13" s="29">
        <f t="shared" si="9"/>
        <v>71470</v>
      </c>
      <c r="AA13" s="29">
        <f t="shared" si="10"/>
        <v>0</v>
      </c>
      <c r="AB13" s="29">
        <f t="shared" si="11"/>
        <v>140000</v>
      </c>
      <c r="AC13" s="29">
        <f t="shared" si="12"/>
        <v>211470</v>
      </c>
      <c r="AD13" s="29">
        <f t="shared" si="13"/>
        <v>10788530</v>
      </c>
      <c r="AE13" s="33" t="str">
        <f t="shared" si="14"/>
        <v>No.2732：確認期間→前の金額/控除→換算年数→重複年度→後の控除調整→課税退職所得→税額</v>
      </c>
      <c r="AF13" s="33">
        <f t="shared" si="15"/>
        <v>2</v>
      </c>
      <c r="AG13" s="33">
        <f>IF(OR(J13="",K13="",G13="同年受取"),"",IF(J13&lt;K13,AF13,IF(G13="DC → 会社退職金",入力!$B$21,入力!$B$19)))</f>
        <v>2</v>
      </c>
      <c r="AH13" s="34" t="str">
        <f>IF(G13&lt;&gt;"同年受取","",_xlfn.LET(
_xlpm.A開始,入力!$B$6,
_xlpm.A終了,入力!$B$7,
_xlpm.B開始,入力!$B$10,
_xlpm.B終了,B13,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3" s="35" t="str">
        <f t="shared" si="16"/>
        <v/>
      </c>
      <c r="AJ13" s="35" t="str">
        <f t="shared" si="17"/>
        <v/>
      </c>
      <c r="AK13" s="36" t="str">
        <f t="shared" si="18"/>
        <v/>
      </c>
      <c r="AL13" s="35" t="str">
        <f t="shared" si="19"/>
        <v/>
      </c>
      <c r="AM13" s="35" t="str">
        <f t="shared" si="20"/>
        <v/>
      </c>
      <c r="AN13" s="35" t="str">
        <f t="shared" si="21"/>
        <v/>
      </c>
      <c r="AO13" s="35" t="str">
        <f t="shared" si="22"/>
        <v/>
      </c>
      <c r="AP13" s="35" t="str">
        <f t="shared" si="23"/>
        <v/>
      </c>
      <c r="AQ13" s="35">
        <f t="shared" si="24"/>
        <v>10788530</v>
      </c>
    </row>
    <row r="14" spans="1:43" x14ac:dyDescent="0.4">
      <c r="AJ14" s="11"/>
    </row>
    <row r="15" spans="1:43" ht="19.5" x14ac:dyDescent="0.4">
      <c r="A15" s="37" t="s">
        <v>136</v>
      </c>
      <c r="O15" s="38"/>
    </row>
    <row r="16" spans="1:43" ht="18.75" customHeight="1" x14ac:dyDescent="0.4">
      <c r="A16" s="39" t="s">
        <v>137</v>
      </c>
      <c r="B16" s="39"/>
      <c r="C16" s="39"/>
      <c r="D16" s="39"/>
      <c r="E16" s="40" t="s">
        <v>138</v>
      </c>
      <c r="F16" s="41"/>
      <c r="G16" s="41"/>
      <c r="H16" s="41"/>
      <c r="I16" s="41"/>
      <c r="J16" s="41"/>
    </row>
    <row r="17" spans="1:10" x14ac:dyDescent="0.4">
      <c r="B17" s="41"/>
      <c r="C17" s="41"/>
      <c r="D17" s="41"/>
      <c r="E17" s="41"/>
      <c r="F17" s="41"/>
      <c r="G17" s="41"/>
      <c r="H17" s="41"/>
      <c r="I17" s="41"/>
      <c r="J17" s="41"/>
    </row>
    <row r="18" spans="1:10" x14ac:dyDescent="0.4">
      <c r="B18" s="41"/>
      <c r="C18" s="41"/>
      <c r="D18" s="41"/>
      <c r="E18" s="41"/>
      <c r="F18" s="41"/>
      <c r="G18" s="41"/>
      <c r="H18" s="41"/>
      <c r="I18" s="41"/>
      <c r="J18" s="41"/>
    </row>
    <row r="19" spans="1:10" x14ac:dyDescent="0.4">
      <c r="A19" s="42" t="s">
        <v>139</v>
      </c>
      <c r="C19" s="40" t="s">
        <v>140</v>
      </c>
    </row>
    <row r="20" spans="1:10" x14ac:dyDescent="0.4">
      <c r="A20" s="42" t="s">
        <v>215</v>
      </c>
      <c r="C20" s="40" t="s">
        <v>213</v>
      </c>
    </row>
    <row r="21" spans="1:10" x14ac:dyDescent="0.4">
      <c r="A21" s="42"/>
      <c r="C21" s="40" t="s">
        <v>214</v>
      </c>
    </row>
    <row r="22" spans="1:10" x14ac:dyDescent="0.4">
      <c r="A22" s="42"/>
      <c r="C22" s="40" t="s">
        <v>216</v>
      </c>
    </row>
    <row r="23" spans="1:10" x14ac:dyDescent="0.4">
      <c r="A23" s="42" t="s">
        <v>141</v>
      </c>
      <c r="C23" s="40" t="s">
        <v>142</v>
      </c>
    </row>
    <row r="24" spans="1:10" x14ac:dyDescent="0.4">
      <c r="A24" s="42" t="s">
        <v>143</v>
      </c>
      <c r="C24" s="40" t="s">
        <v>144</v>
      </c>
    </row>
    <row r="25" spans="1:10" ht="19.5" x14ac:dyDescent="0.4">
      <c r="A25" s="42" t="s">
        <v>145</v>
      </c>
      <c r="B25" s="43" t="s">
        <v>146</v>
      </c>
    </row>
  </sheetData>
  <sheetProtection algorithmName="SHA-512" hashValue="gNcGem/x1ieUJlYEi63BB3ds73ga+ZfZR0xtpr9U4Rig++pmAmgRwZiWdSE5reFxkur/cBxllcNFS3sq4FC2SQ==" saltValue="OFcRpzxzxnCzx162J9qdAA==" spinCount="100000" sheet="1"/>
  <mergeCells count="1">
    <mergeCell ref="A1:J1"/>
  </mergeCells>
  <phoneticPr fontId="1"/>
  <dataValidations count="1">
    <dataValidation type="date" allowBlank="1" showInputMessage="1" showErrorMessage="1" sqref="B4:C13" xr:uid="{5475A85F-6272-4C07-AB27-853C2D0B5070}">
      <formula1>1</formula1>
      <formula2>2958465</formula2>
    </dataValidation>
  </dataValidations>
  <pageMargins left="0.75" right="0.75" top="1" bottom="1" header="0.5" footer="0.5"/>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41"/>
  <sheetViews>
    <sheetView showGridLines="0" view="pageBreakPreview" zoomScale="130" zoomScaleNormal="100" zoomScaleSheetLayoutView="130" workbookViewId="0">
      <selection activeCell="B4" sqref="B4"/>
    </sheetView>
  </sheetViews>
  <sheetFormatPr defaultRowHeight="18.75" x14ac:dyDescent="0.4"/>
  <cols>
    <col min="1" max="1" width="18" style="10" customWidth="1"/>
    <col min="2" max="2" width="12.875" style="10" bestFit="1" customWidth="1"/>
    <col min="3" max="3" width="9" style="11"/>
    <col min="4" max="4" width="15.125" style="10" bestFit="1" customWidth="1"/>
    <col min="5" max="6" width="13" style="10" bestFit="1" customWidth="1"/>
    <col min="7" max="13" width="9" style="11"/>
    <col min="14" max="14" width="15.125" style="10" customWidth="1"/>
    <col min="15" max="15" width="34.375" style="10" customWidth="1"/>
    <col min="16" max="16" width="9" style="11"/>
    <col min="17" max="17" width="14.875" style="10" bestFit="1" customWidth="1"/>
    <col min="18" max="18" width="34.125" style="10" bestFit="1" customWidth="1"/>
    <col min="19" max="19" width="6" style="10" bestFit="1" customWidth="1"/>
    <col min="20" max="20" width="10.5" style="10" bestFit="1" customWidth="1"/>
    <col min="21" max="21" width="9" style="11"/>
    <col min="22" max="22" width="73.875" style="10" customWidth="1"/>
    <col min="23" max="16384" width="9" style="11"/>
  </cols>
  <sheetData>
    <row r="1" spans="1:25" x14ac:dyDescent="0.4">
      <c r="A1" s="10" t="s">
        <v>233</v>
      </c>
    </row>
    <row r="3" spans="1:25" x14ac:dyDescent="0.4">
      <c r="A3" s="11" t="s">
        <v>147</v>
      </c>
    </row>
    <row r="4" spans="1:25" x14ac:dyDescent="0.4">
      <c r="A4" s="44" t="s">
        <v>148</v>
      </c>
      <c r="B4" s="1">
        <v>25689</v>
      </c>
    </row>
    <row r="5" spans="1:25" x14ac:dyDescent="0.4">
      <c r="A5" s="44" t="s">
        <v>149</v>
      </c>
      <c r="B5" s="1">
        <v>32599</v>
      </c>
    </row>
    <row r="6" spans="1:25" x14ac:dyDescent="0.4">
      <c r="A6" s="44" t="s">
        <v>150</v>
      </c>
      <c r="B6" s="1">
        <v>49460</v>
      </c>
      <c r="D6" s="11" t="s">
        <v>151</v>
      </c>
      <c r="E6" s="11" t="str">
        <f>DATEDIF(B4, B6, "Y") &amp; "歳" &amp; DATEDIF(B4, B6, "YM") &amp; "ヶ月"</f>
        <v>65歳0ヶ月</v>
      </c>
    </row>
    <row r="7" spans="1:25" x14ac:dyDescent="0.4">
      <c r="A7" s="44" t="s">
        <v>152</v>
      </c>
      <c r="B7" s="45">
        <f>IF(DATEDIF(B5,B6+1,"M")=0, 1, CEILING(DATEDIF(B5,B6+1,"M")/12, 1))</f>
        <v>47</v>
      </c>
    </row>
    <row r="8" spans="1:25" x14ac:dyDescent="0.4">
      <c r="A8" s="44" t="s">
        <v>141</v>
      </c>
      <c r="B8" s="46">
        <f>IF(B7&lt;=20, MAX(400000*B7, 800000), 8000000+700000*(B7-20))</f>
        <v>26900000</v>
      </c>
      <c r="C8" s="11" t="s">
        <v>153</v>
      </c>
    </row>
    <row r="9" spans="1:25" x14ac:dyDescent="0.4">
      <c r="A9" s="44" t="s">
        <v>154</v>
      </c>
      <c r="B9" s="4">
        <v>10000000</v>
      </c>
    </row>
    <row r="10" spans="1:25" x14ac:dyDescent="0.4">
      <c r="A10" s="44" t="s">
        <v>143</v>
      </c>
      <c r="B10" s="46">
        <f>MAX(0, FLOOR((B9-B8)/2, 1000))</f>
        <v>0</v>
      </c>
      <c r="C10" s="11" t="s">
        <v>155</v>
      </c>
    </row>
    <row r="11" spans="1:25" x14ac:dyDescent="0.4">
      <c r="A11" s="44" t="s">
        <v>156</v>
      </c>
      <c r="B11" s="47">
        <f>VLOOKUP(B10,tabletax,3,TRUE)</f>
        <v>0.05</v>
      </c>
      <c r="C11" s="11" t="s">
        <v>157</v>
      </c>
      <c r="R11" s="48"/>
      <c r="S11" s="48"/>
      <c r="T11" s="48"/>
    </row>
    <row r="12" spans="1:25" x14ac:dyDescent="0.4">
      <c r="A12" s="44" t="s">
        <v>158</v>
      </c>
      <c r="B12" s="46">
        <f>VLOOKUP(B10,tabletax,4,TRUE)</f>
        <v>0</v>
      </c>
      <c r="C12" s="11" t="s">
        <v>157</v>
      </c>
      <c r="N12" s="48" t="s">
        <v>160</v>
      </c>
      <c r="O12" s="48"/>
      <c r="P12" s="48"/>
      <c r="Q12" s="48"/>
      <c r="R12" s="48" t="s">
        <v>159</v>
      </c>
      <c r="S12" s="48"/>
      <c r="T12" s="48"/>
      <c r="V12" s="48" t="s">
        <v>161</v>
      </c>
      <c r="W12" s="48"/>
      <c r="X12" s="48"/>
      <c r="Y12" s="48"/>
    </row>
    <row r="13" spans="1:25" x14ac:dyDescent="0.4">
      <c r="A13" s="44" t="s">
        <v>162</v>
      </c>
      <c r="B13" s="46">
        <f>FLOOR((B10*B11-B12)*1.021, 1)</f>
        <v>0</v>
      </c>
      <c r="C13" s="11" t="s">
        <v>212</v>
      </c>
      <c r="N13" s="48" t="s">
        <v>167</v>
      </c>
      <c r="O13" s="48"/>
      <c r="P13" s="48"/>
      <c r="Q13" s="49" t="s">
        <v>163</v>
      </c>
      <c r="R13" s="49" t="s">
        <v>164</v>
      </c>
      <c r="S13" s="49" t="s">
        <v>165</v>
      </c>
      <c r="T13" s="49" t="s">
        <v>166</v>
      </c>
      <c r="V13" s="48" t="s">
        <v>168</v>
      </c>
      <c r="W13" s="48"/>
      <c r="X13" s="48"/>
      <c r="Y13" s="48"/>
    </row>
    <row r="14" spans="1:25" x14ac:dyDescent="0.4">
      <c r="A14" s="44" t="s">
        <v>169</v>
      </c>
      <c r="B14" s="46">
        <f>FLOOR(B10 * 0.1, 100)</f>
        <v>0</v>
      </c>
      <c r="C14" s="11" t="s">
        <v>170</v>
      </c>
      <c r="N14" s="48" t="s">
        <v>172</v>
      </c>
      <c r="O14" s="48"/>
      <c r="P14" s="48"/>
      <c r="Q14" s="49">
        <v>0</v>
      </c>
      <c r="R14" s="49" t="s">
        <v>171</v>
      </c>
      <c r="S14" s="50">
        <v>0.05</v>
      </c>
      <c r="T14" s="49">
        <v>0</v>
      </c>
      <c r="V14" s="48" t="s">
        <v>173</v>
      </c>
      <c r="W14" s="48"/>
      <c r="X14" s="48"/>
      <c r="Y14" s="48"/>
    </row>
    <row r="15" spans="1:25" x14ac:dyDescent="0.4">
      <c r="A15" s="44" t="s">
        <v>127</v>
      </c>
      <c r="B15" s="51">
        <f>B13+B14</f>
        <v>0</v>
      </c>
      <c r="N15" s="49" t="s">
        <v>176</v>
      </c>
      <c r="O15" s="49" t="s">
        <v>141</v>
      </c>
      <c r="P15" s="48"/>
      <c r="Q15" s="52">
        <v>1950000</v>
      </c>
      <c r="R15" s="52" t="s">
        <v>175</v>
      </c>
      <c r="S15" s="50">
        <v>0.1</v>
      </c>
      <c r="T15" s="52">
        <v>97500</v>
      </c>
      <c r="V15" s="48" t="s">
        <v>177</v>
      </c>
    </row>
    <row r="16" spans="1:25" x14ac:dyDescent="0.4">
      <c r="A16" s="44" t="s">
        <v>174</v>
      </c>
      <c r="B16" s="46">
        <f>B9-B15</f>
        <v>10000000</v>
      </c>
      <c r="N16" s="53" t="s">
        <v>179</v>
      </c>
      <c r="O16" s="53" t="s">
        <v>180</v>
      </c>
      <c r="P16" s="48"/>
      <c r="Q16" s="52">
        <v>3300000</v>
      </c>
      <c r="R16" s="52" t="s">
        <v>178</v>
      </c>
      <c r="S16" s="50">
        <v>0.2</v>
      </c>
      <c r="T16" s="52">
        <v>427500</v>
      </c>
      <c r="V16" s="48"/>
      <c r="W16" s="48"/>
      <c r="X16" s="48"/>
      <c r="Y16" s="48"/>
    </row>
    <row r="17" spans="2:25" x14ac:dyDescent="0.4">
      <c r="B17" s="35"/>
      <c r="N17" s="54"/>
      <c r="O17" s="55" t="s">
        <v>182</v>
      </c>
      <c r="P17" s="48"/>
      <c r="Q17" s="52">
        <v>6950000</v>
      </c>
      <c r="R17" s="52" t="s">
        <v>181</v>
      </c>
      <c r="S17" s="50">
        <v>0.23</v>
      </c>
      <c r="T17" s="52">
        <v>636000</v>
      </c>
      <c r="V17" s="48"/>
      <c r="W17" s="48"/>
      <c r="X17" s="48"/>
      <c r="Y17" s="48"/>
    </row>
    <row r="18" spans="2:25" x14ac:dyDescent="0.4">
      <c r="N18" s="49" t="s">
        <v>184</v>
      </c>
      <c r="O18" s="49" t="s">
        <v>185</v>
      </c>
      <c r="P18" s="48"/>
      <c r="Q18" s="52">
        <v>9000000</v>
      </c>
      <c r="R18" s="52" t="s">
        <v>183</v>
      </c>
      <c r="S18" s="50">
        <v>0.33</v>
      </c>
      <c r="T18" s="52">
        <v>1536000</v>
      </c>
      <c r="V18" s="48"/>
      <c r="W18" s="48"/>
      <c r="X18" s="48"/>
      <c r="Y18" s="48"/>
    </row>
    <row r="19" spans="2:25" x14ac:dyDescent="0.4">
      <c r="N19" s="48"/>
      <c r="O19" s="48"/>
      <c r="P19" s="48"/>
      <c r="Q19" s="52">
        <v>18000000</v>
      </c>
      <c r="R19" s="52" t="s">
        <v>186</v>
      </c>
      <c r="S19" s="50">
        <v>0.4</v>
      </c>
      <c r="T19" s="52">
        <v>2796000</v>
      </c>
      <c r="V19" s="48"/>
      <c r="W19" s="48"/>
      <c r="X19" s="48"/>
      <c r="Y19" s="48"/>
    </row>
    <row r="20" spans="2:25" x14ac:dyDescent="0.4">
      <c r="N20" s="48"/>
      <c r="O20" s="48"/>
      <c r="P20" s="48"/>
      <c r="Q20" s="52">
        <v>40000000</v>
      </c>
      <c r="R20" s="52" t="s">
        <v>187</v>
      </c>
      <c r="S20" s="50">
        <v>0.45</v>
      </c>
      <c r="T20" s="52">
        <v>4796000</v>
      </c>
      <c r="V20" s="48"/>
      <c r="W20" s="48"/>
      <c r="X20" s="48"/>
      <c r="Y20" s="48"/>
    </row>
    <row r="21" spans="2:25" x14ac:dyDescent="0.4">
      <c r="N21" s="48"/>
      <c r="O21" s="48"/>
      <c r="P21" s="48"/>
      <c r="V21" s="48"/>
      <c r="W21" s="48"/>
      <c r="X21" s="48"/>
      <c r="Y21" s="48"/>
    </row>
    <row r="22" spans="2:25" x14ac:dyDescent="0.4">
      <c r="W22" s="48"/>
      <c r="X22" s="48"/>
      <c r="Y22" s="48"/>
    </row>
    <row r="23" spans="2:25" x14ac:dyDescent="0.4">
      <c r="W23" s="48"/>
      <c r="X23" s="48"/>
      <c r="Y23" s="48"/>
    </row>
    <row r="33" spans="1:1" x14ac:dyDescent="0.4">
      <c r="A33" s="11" t="s">
        <v>188</v>
      </c>
    </row>
    <row r="34" spans="1:1" x14ac:dyDescent="0.4">
      <c r="A34" s="11" t="s">
        <v>189</v>
      </c>
    </row>
    <row r="35" spans="1:1" x14ac:dyDescent="0.4">
      <c r="A35" s="56" t="s">
        <v>190</v>
      </c>
    </row>
    <row r="36" spans="1:1" x14ac:dyDescent="0.4">
      <c r="A36" s="11" t="s">
        <v>191</v>
      </c>
    </row>
    <row r="37" spans="1:1" x14ac:dyDescent="0.4">
      <c r="A37" s="56" t="s">
        <v>192</v>
      </c>
    </row>
    <row r="38" spans="1:1" x14ac:dyDescent="0.4">
      <c r="A38" s="11" t="s">
        <v>193</v>
      </c>
    </row>
    <row r="39" spans="1:1" x14ac:dyDescent="0.4">
      <c r="A39" s="56" t="s">
        <v>194</v>
      </c>
    </row>
    <row r="40" spans="1:1" x14ac:dyDescent="0.4">
      <c r="A40" s="11" t="s">
        <v>195</v>
      </c>
    </row>
    <row r="41" spans="1:1" x14ac:dyDescent="0.4">
      <c r="A41" s="56" t="s">
        <v>196</v>
      </c>
    </row>
  </sheetData>
  <sheetProtection algorithmName="SHA-512" hashValue="v7qbJeny53GqJddlAr0Ne5Nv1SWPwldPkbVbULFy6xymQTax+v7Tim6/qApp2lQDr3xzfed+3/h8mBvDJB4fEw==" saltValue="mCkMFQ5aFhD2ICZOuvxs5g==" spinCount="100000" sheet="1" objects="1" scenarios="1"/>
  <phoneticPr fontId="1"/>
  <dataValidations count="1">
    <dataValidation type="date" allowBlank="1" showInputMessage="1" showErrorMessage="1" sqref="B4:B6" xr:uid="{A663A356-3AC7-470A-8A8B-25AB6FAEEA79}">
      <formula1>1</formula1>
      <formula2>2958465</formula2>
    </dataValidation>
  </dataValidations>
  <hyperlinks>
    <hyperlink ref="A34" r:id="rId1" xr:uid="{00000000-0004-0000-0400-000000000000}"/>
    <hyperlink ref="A36" r:id="rId2" xr:uid="{00000000-0004-0000-0400-000001000000}"/>
    <hyperlink ref="A38" r:id="rId3" xr:uid="{00000000-0004-0000-0400-000002000000}"/>
    <hyperlink ref="A40" r:id="rId4" xr:uid="{00000000-0004-0000-0400-000003000000}"/>
  </hyperlinks>
  <pageMargins left="0.7" right="0.7" top="0.75" bottom="0.75" header="0.3" footer="0.3"/>
  <pageSetup paperSize="9" scale="59" orientation="portrait" horizontalDpi="4294967293" verticalDpi="0" r:id="rId5"/>
  <drawing r:id="rId6"/>
  <legacyDrawing r:id="rId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
  <sheetViews>
    <sheetView showGridLines="0" workbookViewId="0">
      <selection sqref="A1:D1"/>
    </sheetView>
  </sheetViews>
  <sheetFormatPr defaultRowHeight="18.75" x14ac:dyDescent="0.4"/>
  <cols>
    <col min="1" max="1" width="38" style="2" customWidth="1"/>
    <col min="2" max="2" width="42" style="2" customWidth="1"/>
    <col min="3" max="6" width="20" style="2" customWidth="1"/>
  </cols>
  <sheetData>
    <row r="1" spans="1:6" ht="24" x14ac:dyDescent="0.5">
      <c r="A1" s="71" t="s">
        <v>197</v>
      </c>
      <c r="B1" s="72"/>
      <c r="C1" s="72"/>
      <c r="D1" s="72"/>
    </row>
    <row r="3" spans="1:6" x14ac:dyDescent="0.35">
      <c r="A3" s="3" t="s">
        <v>198</v>
      </c>
      <c r="B3" s="73" t="s">
        <v>199</v>
      </c>
      <c r="C3" s="72"/>
      <c r="D3" s="72"/>
      <c r="E3" s="72"/>
      <c r="F3" s="72"/>
    </row>
    <row r="4" spans="1:6" x14ac:dyDescent="0.4">
      <c r="B4" s="72"/>
      <c r="C4" s="72"/>
      <c r="D4" s="72"/>
      <c r="E4" s="72"/>
      <c r="F4" s="72"/>
    </row>
    <row r="5" spans="1:6" x14ac:dyDescent="0.4">
      <c r="B5" s="72"/>
      <c r="C5" s="72"/>
      <c r="D5" s="72"/>
      <c r="E5" s="72"/>
      <c r="F5" s="72"/>
    </row>
    <row r="6" spans="1:6" x14ac:dyDescent="0.4">
      <c r="A6" s="3" t="s">
        <v>200</v>
      </c>
      <c r="B6" s="73" t="s">
        <v>201</v>
      </c>
      <c r="C6" s="72"/>
      <c r="D6" s="72"/>
    </row>
    <row r="7" spans="1:6" x14ac:dyDescent="0.4">
      <c r="B7" s="72"/>
      <c r="C7" s="72"/>
      <c r="D7" s="72"/>
    </row>
    <row r="8" spans="1:6" x14ac:dyDescent="0.4">
      <c r="B8" s="72"/>
      <c r="C8" s="72"/>
      <c r="D8" s="72"/>
    </row>
    <row r="9" spans="1:6" x14ac:dyDescent="0.35">
      <c r="A9" s="3" t="s">
        <v>202</v>
      </c>
      <c r="B9" s="73" t="s">
        <v>203</v>
      </c>
      <c r="C9" s="72"/>
      <c r="D9" s="72"/>
      <c r="E9" s="72"/>
      <c r="F9" s="72"/>
    </row>
    <row r="10" spans="1:6" x14ac:dyDescent="0.4">
      <c r="B10" s="72"/>
      <c r="C10" s="72"/>
      <c r="D10" s="72"/>
      <c r="E10" s="72"/>
      <c r="F10" s="72"/>
    </row>
    <row r="11" spans="1:6" x14ac:dyDescent="0.4">
      <c r="B11" s="72"/>
      <c r="C11" s="72"/>
      <c r="D11" s="72"/>
      <c r="E11" s="72"/>
      <c r="F11" s="72"/>
    </row>
    <row r="12" spans="1:6" x14ac:dyDescent="0.35">
      <c r="A12" s="3" t="s">
        <v>204</v>
      </c>
      <c r="B12" s="72"/>
      <c r="C12" s="72"/>
      <c r="D12" s="72"/>
      <c r="E12" s="72"/>
      <c r="F12" s="72"/>
    </row>
    <row r="13" spans="1:6" x14ac:dyDescent="0.4">
      <c r="B13" s="72"/>
      <c r="C13" s="72"/>
      <c r="D13" s="72"/>
      <c r="E13" s="72"/>
      <c r="F13" s="72"/>
    </row>
    <row r="14" spans="1:6" x14ac:dyDescent="0.4">
      <c r="B14" s="72"/>
      <c r="C14" s="72"/>
      <c r="D14" s="72"/>
      <c r="E14" s="72"/>
      <c r="F14" s="72"/>
    </row>
    <row r="16" spans="1:6" x14ac:dyDescent="0.4">
      <c r="A16" s="3" t="s">
        <v>205</v>
      </c>
      <c r="B16" s="72"/>
      <c r="C16" s="72"/>
      <c r="D16" s="72"/>
    </row>
    <row r="17" spans="1:4" x14ac:dyDescent="0.4">
      <c r="A17" t="s">
        <v>206</v>
      </c>
      <c r="B17" s="74" t="s">
        <v>190</v>
      </c>
      <c r="C17" s="74"/>
      <c r="D17" s="74"/>
    </row>
    <row r="18" spans="1:4" x14ac:dyDescent="0.4">
      <c r="A18" t="s">
        <v>207</v>
      </c>
      <c r="B18" s="74" t="s">
        <v>208</v>
      </c>
      <c r="C18" s="74"/>
      <c r="D18" s="74"/>
    </row>
    <row r="19" spans="1:4" x14ac:dyDescent="0.4">
      <c r="A19" s="2" t="s">
        <v>222</v>
      </c>
    </row>
    <row r="20" spans="1:4" x14ac:dyDescent="0.4">
      <c r="A20"/>
      <c r="B20" s="9" t="s">
        <v>217</v>
      </c>
    </row>
    <row r="21" spans="1:4" x14ac:dyDescent="0.4">
      <c r="A21"/>
      <c r="B21"/>
    </row>
    <row r="22" spans="1:4" x14ac:dyDescent="0.4">
      <c r="A22"/>
      <c r="B22"/>
    </row>
  </sheetData>
  <sheetProtection algorithmName="SHA-512" hashValue="BpBiFGDHwlVcGAhvvbOysqPgNdHoNjL4TcizY+OQw5HP8gLfHDKNFHwjsMnlCEbpKeCQy0CGoywr+/CqW7kSTg==" saltValue="W17hInoSfnpjOi98+K3hXA==" spinCount="100000" sheet="1" objects="1" scenarios="1"/>
  <mergeCells count="8">
    <mergeCell ref="A1:D1"/>
    <mergeCell ref="B6:D8"/>
    <mergeCell ref="B12:F14"/>
    <mergeCell ref="B17:D17"/>
    <mergeCell ref="B18:D18"/>
    <mergeCell ref="B9:F11"/>
    <mergeCell ref="B3:F5"/>
    <mergeCell ref="B16:D16"/>
  </mergeCells>
  <phoneticPr fontId="1"/>
  <hyperlinks>
    <hyperlink ref="B17:D17" r:id="rId1" display="https://www.nta.go.jp/taxes/shiraberu/taxanswer/shotoku/1420.htm" xr:uid="{B979EF09-0229-4B99-95CA-4B28A0D96EC4}"/>
    <hyperlink ref="B18:D18" r:id="rId2" display="https://www.nta.go.jp/taxes/shiraberu/taxanswer/gensen/2732.htm" xr:uid="{99978AA4-5346-43EA-B5A0-669F65677C18}"/>
    <hyperlink ref="B20" r:id="rId3" xr:uid="{A36F9B6A-D43A-4804-8FD6-80FCE0D7AFC1}"/>
  </hyperlinks>
  <pageMargins left="0.75" right="0.75" top="1" bottom="1" header="0.5" footer="0.5"/>
  <pageSetup paperSize="9" orientation="portrait" horizontalDpi="4294967293" verticalDpi="0"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8"/>
  <sheetViews>
    <sheetView showGridLines="0" workbookViewId="0">
      <pane ySplit="3" topLeftCell="A4" activePane="bottomLeft" state="frozen"/>
      <selection pane="bottomLeft" activeCell="A4" sqref="A4"/>
    </sheetView>
  </sheetViews>
  <sheetFormatPr defaultRowHeight="18.75" x14ac:dyDescent="0.4"/>
  <cols>
    <col min="1" max="1" width="13" style="2" customWidth="1"/>
    <col min="2" max="3" width="12" style="2" customWidth="1"/>
  </cols>
  <sheetData>
    <row r="1" spans="1:3" x14ac:dyDescent="0.35">
      <c r="A1" s="57" t="s">
        <v>209</v>
      </c>
      <c r="B1" s="58" t="s">
        <v>165</v>
      </c>
      <c r="C1" s="57" t="s">
        <v>166</v>
      </c>
    </row>
    <row r="2" spans="1:3" x14ac:dyDescent="0.4">
      <c r="A2" s="59">
        <v>0</v>
      </c>
      <c r="B2" s="60">
        <v>0.05</v>
      </c>
      <c r="C2" s="59">
        <v>0</v>
      </c>
    </row>
    <row r="3" spans="1:3" x14ac:dyDescent="0.4">
      <c r="A3" s="59">
        <v>1950000</v>
      </c>
      <c r="B3" s="60">
        <v>0.1</v>
      </c>
      <c r="C3" s="59">
        <v>97500</v>
      </c>
    </row>
    <row r="4" spans="1:3" x14ac:dyDescent="0.4">
      <c r="A4" s="59">
        <v>3300000</v>
      </c>
      <c r="B4" s="60">
        <v>0.2</v>
      </c>
      <c r="C4" s="59">
        <v>427500</v>
      </c>
    </row>
    <row r="5" spans="1:3" x14ac:dyDescent="0.4">
      <c r="A5" s="59">
        <v>6950000</v>
      </c>
      <c r="B5" s="60">
        <v>0.23</v>
      </c>
      <c r="C5" s="59">
        <v>636000</v>
      </c>
    </row>
    <row r="6" spans="1:3" x14ac:dyDescent="0.4">
      <c r="A6" s="59">
        <v>9000000</v>
      </c>
      <c r="B6" s="60">
        <v>0.33</v>
      </c>
      <c r="C6" s="59">
        <v>1536000</v>
      </c>
    </row>
    <row r="7" spans="1:3" x14ac:dyDescent="0.4">
      <c r="A7" s="59">
        <v>18000000</v>
      </c>
      <c r="B7" s="60">
        <v>0.4</v>
      </c>
      <c r="C7" s="59">
        <v>2796000</v>
      </c>
    </row>
    <row r="8" spans="1:3" x14ac:dyDescent="0.4">
      <c r="A8" s="59">
        <v>40000000</v>
      </c>
      <c r="B8" s="60">
        <v>0.45</v>
      </c>
      <c r="C8" s="59">
        <v>4796000</v>
      </c>
    </row>
  </sheetData>
  <sheetProtection algorithmName="SHA-512" hashValue="wud38P6r/UuFmLta6rl7BPfCOniGIqycUdRkh3LQBbHVNIshO1jC1MkQzYoyoCWiuw456qey+cMMvyL9EXFqbg==" saltValue="q8wghWMXnBxLKYguyEqABg==" spinCount="100000" sheet="1" objects="1" scenarios="1"/>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入力</vt:lpstr>
      <vt:lpstr>重複調整計算</vt:lpstr>
      <vt:lpstr>受取時期比較</vt:lpstr>
      <vt:lpstr>会社退職金</vt:lpstr>
      <vt:lpstr>説明・参照情報</vt:lpstr>
      <vt:lpstr>税率表</vt:lpstr>
      <vt:lpstr>会社退職金!Print_Area</vt:lpstr>
      <vt:lpstr>tabletax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克彦 福田</dc:creator>
  <cp:lastModifiedBy>克彦 福田</cp:lastModifiedBy>
  <dcterms:created xsi:type="dcterms:W3CDTF">2026-09-23T13:49:33Z</dcterms:created>
  <dcterms:modified xsi:type="dcterms:W3CDTF">2026-10-09T16:23:32Z</dcterms:modified>
</cp:coreProperties>
</file>