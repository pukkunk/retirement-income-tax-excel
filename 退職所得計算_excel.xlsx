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克彦\40_個人年金\"/>
    </mc:Choice>
  </mc:AlternateContent>
  <xr:revisionPtr revIDLastSave="0" documentId="13_ncr:1_{44FB5D46-40D1-4BE5-8DB3-54D951EDA27E}" xr6:coauthVersionLast="47" xr6:coauthVersionMax="47" xr10:uidLastSave="{00000000-0000-0000-0000-000000000000}"/>
  <bookViews>
    <workbookView xWindow="-120" yWindow="-120" windowWidth="25440" windowHeight="15270" xr2:uid="{E74CE8F4-0FCE-41F4-83DC-0C96164E4C1D}"/>
  </bookViews>
  <sheets>
    <sheet name="Sheet1" sheetId="1" r:id="rId1"/>
  </sheets>
  <definedNames>
    <definedName name="_xlnm.Print_Area" localSheetId="0">Sheet1!$A$1:$L$38</definedName>
    <definedName name="tabletax">Sheet1!$N$12:$Q$19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E4" i="1"/>
  <c r="B5" i="1"/>
  <c r="B6" i="1" s="1"/>
  <c r="B8" i="1" s="1"/>
  <c r="B12" i="1" s="1"/>
  <c r="B10" i="1" l="1"/>
  <c r="B9" i="1"/>
  <c r="B13" i="1" l="1"/>
</calcChain>
</file>

<file path=xl/sharedStrings.xml><?xml version="1.0" encoding="utf-8"?>
<sst xmlns="http://schemas.openxmlformats.org/spreadsheetml/2006/main" count="55" uniqueCount="53">
  <si>
    <t>入社年月日</t>
    <phoneticPr fontId="1"/>
  </si>
  <si>
    <t>退職年月日</t>
    <phoneticPr fontId="1"/>
  </si>
  <si>
    <t>勤続年数</t>
    <phoneticPr fontId="1"/>
  </si>
  <si>
    <t>退職所得控除額</t>
    <phoneticPr fontId="1"/>
  </si>
  <si>
    <t>No.1420 退職金を受け取ったとき(退職所得)</t>
    <phoneticPr fontId="1"/>
  </si>
  <si>
    <t>No.2260 所得税の税率</t>
    <phoneticPr fontId="1"/>
  </si>
  <si>
    <t>https://www.nta.go.jp/taxes/shiraberu/taxanswer/shotoku/2260.htm</t>
    <phoneticPr fontId="1"/>
  </si>
  <si>
    <t>退職金支給額</t>
    <phoneticPr fontId="1"/>
  </si>
  <si>
    <t>課税退職所得</t>
    <phoneticPr fontId="1"/>
  </si>
  <si>
    <t>https://www.nta.go.jp/taxes/shiraberu/taxanswer/shotoku/1420.htm</t>
    <phoneticPr fontId="1"/>
  </si>
  <si>
    <t>誕生日</t>
    <rPh sb="0" eb="3">
      <t>タンジョウビ</t>
    </rPh>
    <phoneticPr fontId="1"/>
  </si>
  <si>
    <t>退職時年齢</t>
    <rPh sb="0" eb="3">
      <t>タイショクジ</t>
    </rPh>
    <rPh sb="3" eb="5">
      <t>ネンレイ</t>
    </rPh>
    <phoneticPr fontId="1"/>
  </si>
  <si>
    <t>税率</t>
    <phoneticPr fontId="1"/>
  </si>
  <si>
    <t>控除額</t>
    <phoneticPr fontId="1"/>
  </si>
  <si>
    <t>所得税率</t>
    <rPh sb="0" eb="3">
      <t>ショトクゼイ</t>
    </rPh>
    <rPh sb="3" eb="4">
      <t>リツ</t>
    </rPh>
    <phoneticPr fontId="1"/>
  </si>
  <si>
    <t>課税所得(以上)</t>
    <phoneticPr fontId="1"/>
  </si>
  <si>
    <t>課税される所得金額</t>
    <phoneticPr fontId="1"/>
  </si>
  <si>
    <t>1,000円 から 1,949,000円まで</t>
  </si>
  <si>
    <t>1,950,000円 から 3,299,000円まで</t>
  </si>
  <si>
    <t>3,300,000円 から 6,949,000円まで</t>
  </si>
  <si>
    <t>6,950,000円 から 8,999,000円まで</t>
  </si>
  <si>
    <t>9,000,000円 から 17,999,000円まで</t>
  </si>
  <si>
    <t>18,000,000円 から 39,999,000円まで</t>
  </si>
  <si>
    <t>40,000,000円 以上</t>
  </si>
  <si>
    <t>（収入金額（源泉徴収される前の金額） － 退職所得控除額） × 1 ／ 2 ＝ 退職所得の金額。ただし1000円未満は0円。</t>
    <rPh sb="55" eb="56">
      <t>エン</t>
    </rPh>
    <rPh sb="56" eb="58">
      <t>ミマン</t>
    </rPh>
    <rPh sb="60" eb="61">
      <t>エン</t>
    </rPh>
    <phoneticPr fontId="1"/>
  </si>
  <si>
    <t>所得税(復興含む)</t>
    <phoneticPr fontId="1"/>
  </si>
  <si>
    <t>退職所得に対する住民税の特別徴収について</t>
    <phoneticPr fontId="1"/>
  </si>
  <si>
    <t>住民税</t>
    <rPh sb="0" eb="3">
      <t>ジュウミンゼイ</t>
    </rPh>
    <phoneticPr fontId="1"/>
  </si>
  <si>
    <t>退職所得控除額は、次のように計算します。</t>
    <phoneticPr fontId="1"/>
  </si>
  <si>
    <t>退職所得控除額の計算の表</t>
    <phoneticPr fontId="1"/>
  </si>
  <si>
    <t>勤続年数(＝A)</t>
    <phoneticPr fontId="1"/>
  </si>
  <si>
    <t>20年以下</t>
    <phoneticPr fontId="1"/>
  </si>
  <si>
    <t>20年超</t>
    <phoneticPr fontId="1"/>
  </si>
  <si>
    <t xml:space="preserve">	40万円 × A</t>
    <phoneticPr fontId="1"/>
  </si>
  <si>
    <t>(80万円に満たない場合には、80万円)</t>
    <phoneticPr fontId="1"/>
  </si>
  <si>
    <t>800万円 ＋ 70万円 × (A - 20年)</t>
    <phoneticPr fontId="1"/>
  </si>
  <si>
    <t>※1</t>
    <phoneticPr fontId="1"/>
  </si>
  <si>
    <t>退職所得控除額の計算方法　※1</t>
    <phoneticPr fontId="1"/>
  </si>
  <si>
    <t>※2</t>
    <phoneticPr fontId="1"/>
  </si>
  <si>
    <t>所得税の速算表 ※2</t>
    <phoneticPr fontId="1"/>
  </si>
  <si>
    <t>参照情報：</t>
    <rPh sb="0" eb="2">
      <t>サンショウ</t>
    </rPh>
    <rPh sb="2" eb="4">
      <t>ジョウホウ</t>
    </rPh>
    <phoneticPr fontId="1"/>
  </si>
  <si>
    <r>
      <t xml:space="preserve">課税退職所得 </t>
    </r>
    <r>
      <rPr>
        <sz val="11"/>
        <color theme="1"/>
        <rFont val="Segoe UI Symbol"/>
        <family val="2"/>
      </rPr>
      <t>✕</t>
    </r>
    <r>
      <rPr>
        <sz val="11"/>
        <color theme="1"/>
        <rFont val="游ゴシック"/>
        <family val="2"/>
        <scheme val="minor"/>
      </rPr>
      <t>税率</t>
    </r>
    <r>
      <rPr>
        <sz val="11"/>
        <color theme="1"/>
        <rFont val="游ゴシック"/>
        <family val="3"/>
        <charset val="128"/>
        <scheme val="minor"/>
      </rPr>
      <t>10%</t>
    </r>
    <rPh sb="8" eb="10">
      <t>ゼイリツ</t>
    </rPh>
    <phoneticPr fontId="1"/>
  </si>
  <si>
    <t>特別徴収すべき税額（市町村民税額、道府県民税額）に、百円未満の端数がある場合は、</t>
    <phoneticPr fontId="1"/>
  </si>
  <si>
    <t>それぞれ百円単位未満の端数を切り捨てる（特別徴収税額は100円単位）。</t>
    <phoneticPr fontId="1"/>
  </si>
  <si>
    <t>住民税計算　※3</t>
    <phoneticPr fontId="1"/>
  </si>
  <si>
    <t>※3</t>
    <phoneticPr fontId="1"/>
  </si>
  <si>
    <t>No.2507 復興特別所得税の源泉徴収</t>
    <phoneticPr fontId="1"/>
  </si>
  <si>
    <t>https://www.nta.go.jp/taxes/shiraberu/taxanswer/gensen/2507.htm</t>
    <phoneticPr fontId="1"/>
  </si>
  <si>
    <t>退職所得の計算</t>
    <phoneticPr fontId="1"/>
  </si>
  <si>
    <t>所得税控除額</t>
    <rPh sb="0" eb="3">
      <t>ショトクゼイ</t>
    </rPh>
    <rPh sb="3" eb="5">
      <t>コウジョ</t>
    </rPh>
    <rPh sb="5" eb="6">
      <t>ガク</t>
    </rPh>
    <phoneticPr fontId="1"/>
  </si>
  <si>
    <t>https://www.soumu.go.jp/main_sosiki/jichi_zeisei/czaisei/65871.html</t>
    <phoneticPr fontId="1"/>
  </si>
  <si>
    <t>手取額</t>
    <rPh sb="0" eb="2">
      <t>テド</t>
    </rPh>
    <rPh sb="2" eb="3">
      <t>ガク</t>
    </rPh>
    <phoneticPr fontId="1"/>
  </si>
  <si>
    <t>税額＝（課税退職所得金額×税率－控除額）×102.1％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</si>
</sst>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¥&quot;#,##0;&quot;¥&quot;\-#,##0"/>
    <numFmt numFmtId="176" formatCode="yyyy/mm/dd"/>
    <numFmt numFmtId="177" formatCode="#&quot;年&quot;"/>
    <numFmt numFmtId="178" formatCode="#,##0_);[Red]\(#,##0\)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Segoe UI Symbol"/>
      <family val="2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5" fontId="0" fillId="0" borderId="0" xfId="0" applyNumberFormat="1">
      <alignment vertical="center"/>
    </xf>
    <xf numFmtId="0" fontId="2" fillId="0" borderId="0" xfId="1">
      <alignment vertical="center"/>
    </xf>
    <xf numFmtId="0" fontId="0" fillId="0" borderId="1" xfId="0" applyBorder="1">
      <alignment vertical="center"/>
    </xf>
    <xf numFmtId="9" fontId="0" fillId="0" borderId="1" xfId="0" applyNumberFormat="1" applyBorder="1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9" fontId="0" fillId="2" borderId="1" xfId="0" applyNumberFormat="1" applyFill="1" applyBorder="1">
      <alignment vertical="center"/>
    </xf>
    <xf numFmtId="3" fontId="0" fillId="2" borderId="1" xfId="0" applyNumberFormat="1" applyFill="1" applyBorder="1">
      <alignment vertical="center"/>
    </xf>
    <xf numFmtId="177" fontId="0" fillId="0" borderId="1" xfId="0" applyNumberFormat="1" applyBorder="1">
      <alignment vertical="center"/>
    </xf>
    <xf numFmtId="5" fontId="0" fillId="0" borderId="1" xfId="0" applyNumberFormat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3" xfId="0" applyBorder="1">
      <alignment vertical="center"/>
    </xf>
    <xf numFmtId="176" fontId="6" fillId="3" borderId="1" xfId="0" applyNumberFormat="1" applyFont="1" applyFill="1" applyBorder="1" applyAlignment="1" applyProtection="1">
      <protection locked="0"/>
    </xf>
    <xf numFmtId="178" fontId="6" fillId="3" borderId="1" xfId="0" applyNumberFormat="1" applyFont="1" applyFill="1" applyBorder="1" applyAlignment="1" applyProtection="1">
      <protection locked="0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732692</xdr:colOff>
          <xdr:row>13</xdr:row>
          <xdr:rowOff>175846</xdr:rowOff>
        </xdr:from>
        <xdr:to>
          <xdr:col>9</xdr:col>
          <xdr:colOff>426426</xdr:colOff>
          <xdr:row>22</xdr:row>
          <xdr:rowOff>194896</xdr:rowOff>
        </xdr:to>
        <xdr:pic>
          <xdr:nvPicPr>
            <xdr:cNvPr id="5" name="図 4">
              <a:extLst>
                <a:ext uri="{FF2B5EF4-FFF2-40B4-BE49-F238E27FC236}">
                  <a16:creationId xmlns:a16="http://schemas.microsoft.com/office/drawing/2014/main" id="{D83CE8F0-1595-2E47-F548-DC147CB8D91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0:$Q$19" spid="_x0000_s106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733192" y="2835519"/>
              <a:ext cx="3738196" cy="219514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417635</xdr:colOff>
          <xdr:row>13</xdr:row>
          <xdr:rowOff>234462</xdr:rowOff>
        </xdr:from>
        <xdr:to>
          <xdr:col>4</xdr:col>
          <xdr:colOff>193431</xdr:colOff>
          <xdr:row>21</xdr:row>
          <xdr:rowOff>2199</xdr:rowOff>
        </xdr:to>
        <xdr:pic>
          <xdr:nvPicPr>
            <xdr:cNvPr id="7" name="図 6">
              <a:extLst>
                <a:ext uri="{FF2B5EF4-FFF2-40B4-BE49-F238E27FC236}">
                  <a16:creationId xmlns:a16="http://schemas.microsoft.com/office/drawing/2014/main" id="{BB2DDDED-0AC5-98C1-D929-8A3C8EECDCC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S$10:$T$17" spid="_x0000_s1069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417635" y="2894135"/>
              <a:ext cx="3776296" cy="170204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490904</xdr:colOff>
          <xdr:row>23</xdr:row>
          <xdr:rowOff>58615</xdr:rowOff>
        </xdr:from>
        <xdr:to>
          <xdr:col>6</xdr:col>
          <xdr:colOff>148737</xdr:colOff>
          <xdr:row>27</xdr:row>
          <xdr:rowOff>68141</xdr:rowOff>
        </xdr:to>
        <xdr:pic>
          <xdr:nvPicPr>
            <xdr:cNvPr id="9" name="図 8">
              <a:extLst>
                <a:ext uri="{FF2B5EF4-FFF2-40B4-BE49-F238E27FC236}">
                  <a16:creationId xmlns:a16="http://schemas.microsoft.com/office/drawing/2014/main" id="{830198E7-B628-4ADB-8887-C61DA389760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V$10:$V$14" spid="_x0000_s1070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490904" y="5136173"/>
              <a:ext cx="5636602" cy="97667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ta.go.jp/taxes/shiraberu/taxanswer/gensen/2507.htm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www.nta.go.jp/taxes/shiraberu/taxanswer/shotoku/1420.htm" TargetMode="External"/><Relationship Id="rId1" Type="http://schemas.openxmlformats.org/officeDocument/2006/relationships/hyperlink" Target="https://www.nta.go.jp/taxes/shiraberu/taxanswer/shotoku/2260.ht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soumu.go.jp/main_sosiki/jichi_zeisei/czaisei/6587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E47AF-0DF8-4129-AC88-A5013E06363E}">
  <sheetPr>
    <pageSetUpPr fitToPage="1"/>
  </sheetPr>
  <dimension ref="A1:Y38"/>
  <sheetViews>
    <sheetView tabSelected="1" view="pageBreakPreview" zoomScale="130" zoomScaleNormal="100" zoomScaleSheetLayoutView="130" workbookViewId="0">
      <selection activeCell="B11" sqref="B11"/>
    </sheetView>
  </sheetViews>
  <sheetFormatPr defaultRowHeight="18.75" x14ac:dyDescent="0.4"/>
  <cols>
    <col min="1" max="1" width="15.5" customWidth="1"/>
    <col min="2" max="2" width="12.875" bestFit="1" customWidth="1"/>
    <col min="4" max="4" width="15.125" bestFit="1" customWidth="1"/>
    <col min="5" max="6" width="13" bestFit="1" customWidth="1"/>
    <col min="14" max="14" width="14.875" bestFit="1" customWidth="1"/>
    <col min="15" max="15" width="34.125" bestFit="1" customWidth="1"/>
    <col min="16" max="16" width="6" bestFit="1" customWidth="1"/>
    <col min="17" max="17" width="10.5" bestFit="1" customWidth="1"/>
    <col min="19" max="19" width="15.125" customWidth="1"/>
    <col min="20" max="20" width="34.375" customWidth="1"/>
    <col min="22" max="22" width="73.875" customWidth="1"/>
  </cols>
  <sheetData>
    <row r="1" spans="1:25" x14ac:dyDescent="0.4">
      <c r="A1" t="s">
        <v>48</v>
      </c>
    </row>
    <row r="2" spans="1:25" x14ac:dyDescent="0.4">
      <c r="A2" s="3" t="s">
        <v>10</v>
      </c>
      <c r="B2" s="14">
        <v>25689</v>
      </c>
    </row>
    <row r="3" spans="1:25" x14ac:dyDescent="0.4">
      <c r="A3" s="3" t="s">
        <v>0</v>
      </c>
      <c r="B3" s="14">
        <v>32599</v>
      </c>
    </row>
    <row r="4" spans="1:25" x14ac:dyDescent="0.4">
      <c r="A4" s="3" t="s">
        <v>1</v>
      </c>
      <c r="B4" s="14">
        <v>49460</v>
      </c>
      <c r="D4" t="s">
        <v>11</v>
      </c>
      <c r="E4" t="str">
        <f>DATEDIF(B2, B4, "Y") &amp; "歳" &amp; DATEDIF(B2, B4, "YM") &amp; "ヶ月"</f>
        <v>65歳0ヶ月</v>
      </c>
    </row>
    <row r="5" spans="1:25" x14ac:dyDescent="0.4">
      <c r="A5" s="3" t="s">
        <v>2</v>
      </c>
      <c r="B5" s="9">
        <f>IF(DATEDIF(B3,B4+1,"M")=0, 1, CEILING(DATEDIF(B3,B4+1,"M")/12, 1))</f>
        <v>47</v>
      </c>
    </row>
    <row r="6" spans="1:25" x14ac:dyDescent="0.4">
      <c r="A6" s="3" t="s">
        <v>3</v>
      </c>
      <c r="B6" s="10">
        <f>IF(B5&lt;=20, MAX(400000*B5, 800000), 8000000+700000*(B5-20))</f>
        <v>26900000</v>
      </c>
      <c r="C6" t="s">
        <v>36</v>
      </c>
    </row>
    <row r="7" spans="1:25" x14ac:dyDescent="0.4">
      <c r="A7" s="3" t="s">
        <v>7</v>
      </c>
      <c r="B7" s="15">
        <v>10000000</v>
      </c>
    </row>
    <row r="8" spans="1:25" x14ac:dyDescent="0.4">
      <c r="A8" s="3" t="s">
        <v>8</v>
      </c>
      <c r="B8" s="10">
        <f>MAX(0, FLOOR((B7-B6)/2, 1000))</f>
        <v>0</v>
      </c>
      <c r="C8" t="s">
        <v>24</v>
      </c>
    </row>
    <row r="9" spans="1:25" x14ac:dyDescent="0.4">
      <c r="A9" s="3" t="s">
        <v>14</v>
      </c>
      <c r="B9" s="4">
        <f>VLOOKUP(B8,tabletax,3,TRUE)</f>
        <v>0.05</v>
      </c>
      <c r="C9" t="s">
        <v>38</v>
      </c>
      <c r="O9" s="5"/>
      <c r="P9" s="5"/>
      <c r="Q9" s="5"/>
    </row>
    <row r="10" spans="1:25" x14ac:dyDescent="0.4">
      <c r="A10" s="3" t="s">
        <v>49</v>
      </c>
      <c r="B10" s="10">
        <f>VLOOKUP(B8,tabletax,4,TRUE)</f>
        <v>0</v>
      </c>
      <c r="C10" t="s">
        <v>38</v>
      </c>
      <c r="N10" s="5"/>
      <c r="O10" s="5" t="s">
        <v>39</v>
      </c>
      <c r="P10" s="5"/>
      <c r="Q10" s="5"/>
      <c r="S10" s="5" t="s">
        <v>37</v>
      </c>
      <c r="T10" s="5"/>
      <c r="U10" s="5"/>
      <c r="V10" s="5" t="s">
        <v>44</v>
      </c>
      <c r="W10" s="5"/>
      <c r="X10" s="5"/>
      <c r="Y10" s="5"/>
    </row>
    <row r="11" spans="1:25" x14ac:dyDescent="0.4">
      <c r="A11" s="3" t="s">
        <v>25</v>
      </c>
      <c r="B11" s="10">
        <f>FLOOR((B8*B9-B10)*1.021, 1)</f>
        <v>0</v>
      </c>
      <c r="C11" t="s">
        <v>52</v>
      </c>
      <c r="N11" s="6" t="s">
        <v>15</v>
      </c>
      <c r="O11" s="6" t="s">
        <v>16</v>
      </c>
      <c r="P11" s="6" t="s">
        <v>12</v>
      </c>
      <c r="Q11" s="6" t="s">
        <v>13</v>
      </c>
      <c r="S11" s="5" t="s">
        <v>28</v>
      </c>
      <c r="T11" s="5"/>
      <c r="U11" s="5"/>
      <c r="V11" s="5" t="s">
        <v>41</v>
      </c>
      <c r="W11" s="5"/>
      <c r="X11" s="5"/>
      <c r="Y11" s="5"/>
    </row>
    <row r="12" spans="1:25" x14ac:dyDescent="0.4">
      <c r="A12" s="3" t="s">
        <v>27</v>
      </c>
      <c r="B12" s="10">
        <f>FLOOR(B8 * 0.1, 100)</f>
        <v>0</v>
      </c>
      <c r="C12" t="s">
        <v>45</v>
      </c>
      <c r="N12" s="6">
        <v>0</v>
      </c>
      <c r="O12" s="6" t="s">
        <v>17</v>
      </c>
      <c r="P12" s="7">
        <v>0.05</v>
      </c>
      <c r="Q12" s="6">
        <v>0</v>
      </c>
      <c r="S12" s="5" t="s">
        <v>29</v>
      </c>
      <c r="T12" s="5"/>
      <c r="U12" s="5"/>
      <c r="V12" s="5" t="s">
        <v>42</v>
      </c>
      <c r="W12" s="5"/>
      <c r="X12" s="5"/>
      <c r="Y12" s="5"/>
    </row>
    <row r="13" spans="1:25" x14ac:dyDescent="0.4">
      <c r="A13" s="3" t="s">
        <v>51</v>
      </c>
      <c r="B13" s="10">
        <f>B7-B11-B12</f>
        <v>10000000</v>
      </c>
      <c r="N13" s="6"/>
      <c r="O13" s="6"/>
      <c r="P13" s="7"/>
      <c r="Q13" s="6"/>
      <c r="S13" s="5"/>
      <c r="T13" s="5"/>
      <c r="U13" s="5"/>
      <c r="V13" s="5"/>
      <c r="W13" s="5"/>
      <c r="X13" s="5"/>
      <c r="Y13" s="5"/>
    </row>
    <row r="14" spans="1:25" x14ac:dyDescent="0.4">
      <c r="B14" s="1"/>
      <c r="N14" s="8">
        <v>1950000</v>
      </c>
      <c r="O14" s="8" t="s">
        <v>18</v>
      </c>
      <c r="P14" s="7">
        <v>0.1</v>
      </c>
      <c r="Q14" s="8">
        <v>97500</v>
      </c>
      <c r="S14" s="6" t="s">
        <v>30</v>
      </c>
      <c r="T14" s="6" t="s">
        <v>3</v>
      </c>
      <c r="U14" s="5"/>
      <c r="V14" s="5" t="s">
        <v>43</v>
      </c>
      <c r="W14" s="5"/>
      <c r="X14" s="5"/>
      <c r="Y14" s="5"/>
    </row>
    <row r="15" spans="1:25" x14ac:dyDescent="0.4">
      <c r="N15" s="8">
        <v>3300000</v>
      </c>
      <c r="O15" s="8" t="s">
        <v>19</v>
      </c>
      <c r="P15" s="7">
        <v>0.2</v>
      </c>
      <c r="Q15" s="8">
        <v>427500</v>
      </c>
      <c r="S15" s="11" t="s">
        <v>31</v>
      </c>
      <c r="T15" s="11" t="s">
        <v>33</v>
      </c>
      <c r="U15" s="5"/>
      <c r="V15" s="5"/>
      <c r="W15" s="5"/>
      <c r="X15" s="5"/>
      <c r="Y15" s="5"/>
    </row>
    <row r="16" spans="1:25" x14ac:dyDescent="0.4">
      <c r="N16" s="8">
        <v>6950000</v>
      </c>
      <c r="O16" s="8" t="s">
        <v>20</v>
      </c>
      <c r="P16" s="7">
        <v>0.23</v>
      </c>
      <c r="Q16" s="8">
        <v>636000</v>
      </c>
      <c r="S16" s="13"/>
      <c r="T16" s="12" t="s">
        <v>34</v>
      </c>
      <c r="U16" s="5"/>
      <c r="V16" s="5"/>
      <c r="W16" s="5"/>
      <c r="X16" s="5"/>
      <c r="Y16" s="5"/>
    </row>
    <row r="17" spans="1:25" x14ac:dyDescent="0.4">
      <c r="N17" s="8">
        <v>9000000</v>
      </c>
      <c r="O17" s="8" t="s">
        <v>21</v>
      </c>
      <c r="P17" s="7">
        <v>0.33</v>
      </c>
      <c r="Q17" s="8">
        <v>1536000</v>
      </c>
      <c r="S17" s="6" t="s">
        <v>32</v>
      </c>
      <c r="T17" s="6" t="s">
        <v>35</v>
      </c>
      <c r="U17" s="5"/>
      <c r="V17" s="5"/>
      <c r="W17" s="5"/>
      <c r="X17" s="5"/>
      <c r="Y17" s="5"/>
    </row>
    <row r="18" spans="1:25" x14ac:dyDescent="0.4">
      <c r="N18" s="8">
        <v>18000000</v>
      </c>
      <c r="O18" s="8" t="s">
        <v>22</v>
      </c>
      <c r="P18" s="7">
        <v>0.4</v>
      </c>
      <c r="Q18" s="8">
        <v>2796000</v>
      </c>
      <c r="S18" s="5"/>
      <c r="T18" s="5"/>
      <c r="U18" s="5"/>
      <c r="V18" s="5"/>
      <c r="W18" s="5"/>
      <c r="X18" s="5"/>
      <c r="Y18" s="5"/>
    </row>
    <row r="19" spans="1:25" x14ac:dyDescent="0.4">
      <c r="N19" s="8">
        <v>40000000</v>
      </c>
      <c r="O19" s="8" t="s">
        <v>23</v>
      </c>
      <c r="P19" s="7">
        <v>0.45</v>
      </c>
      <c r="Q19" s="8">
        <v>4796000</v>
      </c>
      <c r="S19" s="5"/>
      <c r="T19" s="5"/>
      <c r="U19" s="5"/>
      <c r="V19" s="5"/>
      <c r="W19" s="5"/>
      <c r="X19" s="5"/>
      <c r="Y19" s="5"/>
    </row>
    <row r="20" spans="1:25" x14ac:dyDescent="0.4">
      <c r="S20" s="5"/>
      <c r="T20" s="5"/>
      <c r="U20" s="5"/>
      <c r="V20" s="5"/>
      <c r="W20" s="5"/>
      <c r="X20" s="5"/>
      <c r="Y20" s="5"/>
    </row>
    <row r="30" spans="1:25" x14ac:dyDescent="0.4">
      <c r="A30" t="s">
        <v>40</v>
      </c>
    </row>
    <row r="31" spans="1:25" x14ac:dyDescent="0.4">
      <c r="A31" t="s">
        <v>4</v>
      </c>
    </row>
    <row r="32" spans="1:25" x14ac:dyDescent="0.4">
      <c r="A32" s="2" t="s">
        <v>9</v>
      </c>
    </row>
    <row r="33" spans="1:1" x14ac:dyDescent="0.4">
      <c r="A33" t="s">
        <v>5</v>
      </c>
    </row>
    <row r="34" spans="1:1" x14ac:dyDescent="0.4">
      <c r="A34" s="2" t="s">
        <v>6</v>
      </c>
    </row>
    <row r="35" spans="1:1" x14ac:dyDescent="0.4">
      <c r="A35" t="s">
        <v>46</v>
      </c>
    </row>
    <row r="36" spans="1:1" x14ac:dyDescent="0.4">
      <c r="A36" s="2" t="s">
        <v>47</v>
      </c>
    </row>
    <row r="37" spans="1:1" x14ac:dyDescent="0.4">
      <c r="A37" t="s">
        <v>26</v>
      </c>
    </row>
    <row r="38" spans="1:1" x14ac:dyDescent="0.4">
      <c r="A38" s="2" t="s">
        <v>50</v>
      </c>
    </row>
  </sheetData>
  <phoneticPr fontId="1"/>
  <dataValidations count="1">
    <dataValidation type="date" allowBlank="1" showInputMessage="1" showErrorMessage="1" sqref="B2:B4" xr:uid="{663D6727-6FD9-4F6F-BDEE-DEC0DF39DFE9}">
      <formula1>1</formula1>
      <formula2>2958465</formula2>
    </dataValidation>
  </dataValidations>
  <hyperlinks>
    <hyperlink ref="A34" r:id="rId1" xr:uid="{0D5994F3-91EE-47BF-B36F-A23B0B7DAB43}"/>
    <hyperlink ref="A32" r:id="rId2" xr:uid="{E85E5A50-F9A6-483A-897B-03DE48B6083C}"/>
    <hyperlink ref="A36" r:id="rId3" xr:uid="{64577A55-4620-4F8B-BDB3-E4E59C8B0B7B}"/>
    <hyperlink ref="A38" r:id="rId4" xr:uid="{70557B3F-B1FA-438C-9F00-C76F98906658}"/>
  </hyperlinks>
  <pageMargins left="0.7" right="0.7" top="0.75" bottom="0.75" header="0.3" footer="0.3"/>
  <pageSetup paperSize="9" scale="60" orientation="portrait" horizontalDpi="4294967293" verticalDpi="0" r:id="rId5"/>
  <drawing r:id="rId6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tabletax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克彦 福田</dc:creator>
  <cp:lastModifiedBy>克彦 福田</cp:lastModifiedBy>
  <dcterms:created xsi:type="dcterms:W3CDTF">2026-09-23T13:49:33Z</dcterms:created>
  <dcterms:modified xsi:type="dcterms:W3CDTF">2026-09-28T14:46:27Z</dcterms:modified>
</cp:coreProperties>
</file>